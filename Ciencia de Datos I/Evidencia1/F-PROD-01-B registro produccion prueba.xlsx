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Isetta Hermanos\05-Producción\2026\"/>
    </mc:Choice>
  </mc:AlternateContent>
  <xr:revisionPtr revIDLastSave="0" documentId="13_ncr:1_{494CD550-2DFA-4FB3-BD5B-4A5F52ECD1D2}" xr6:coauthVersionLast="46" xr6:coauthVersionMax="46" xr10:uidLastSave="{00000000-0000-0000-0000-000000000000}"/>
  <bookViews>
    <workbookView xWindow="-96" yWindow="-96" windowWidth="23232" windowHeight="12432" firstSheet="3" activeTab="6" xr2:uid="{00000000-000D-0000-FFFF-FFFF00000000}"/>
  </bookViews>
  <sheets>
    <sheet name="ALARCON" sheetId="4" r:id="rId1"/>
    <sheet name="HERRERA" sheetId="9" r:id="rId2"/>
    <sheet name="LOPEZ" sheetId="10" r:id="rId3"/>
    <sheet name="MIZAU" sheetId="11" r:id="rId4"/>
    <sheet name="POLI" sheetId="12" r:id="rId5"/>
    <sheet name="SALGADO" sheetId="14" r:id="rId6"/>
    <sheet name="ROLDAN" sheetId="13" r:id="rId7"/>
    <sheet name="SUAREZ" sheetId="15" r:id="rId8"/>
    <sheet name="VERA" sheetId="16" r:id="rId9"/>
  </sheets>
  <calcPr calcId="191029"/>
</workbook>
</file>

<file path=xl/calcChain.xml><?xml version="1.0" encoding="utf-8"?>
<calcChain xmlns="http://schemas.openxmlformats.org/spreadsheetml/2006/main">
  <c r="L16" i="13" l="1"/>
  <c r="N16" i="13" s="1"/>
  <c r="L17" i="13"/>
  <c r="N17" i="13" s="1"/>
  <c r="L18" i="13"/>
  <c r="N18" i="13" s="1"/>
  <c r="L19" i="13"/>
  <c r="N19" i="13" s="1"/>
  <c r="L20" i="13"/>
  <c r="N20" i="13"/>
  <c r="L21" i="13"/>
  <c r="N21" i="13"/>
  <c r="L22" i="13"/>
  <c r="N22" i="13" s="1"/>
  <c r="L23" i="13"/>
  <c r="N23" i="13"/>
  <c r="L24" i="13"/>
  <c r="N24" i="13"/>
  <c r="L25" i="13"/>
  <c r="N25" i="13"/>
  <c r="L26" i="13"/>
  <c r="N26" i="13"/>
  <c r="L27" i="13"/>
  <c r="N27" i="13"/>
  <c r="L28" i="13"/>
  <c r="N28" i="13" s="1"/>
  <c r="L29" i="13"/>
  <c r="N29" i="13"/>
  <c r="L30" i="13"/>
  <c r="N30" i="13"/>
  <c r="L31" i="13"/>
  <c r="N31" i="13"/>
  <c r="L32" i="13"/>
  <c r="N32" i="13"/>
  <c r="L33" i="13"/>
  <c r="N33" i="13"/>
  <c r="L34" i="13"/>
  <c r="N34" i="13" s="1"/>
  <c r="L35" i="13"/>
  <c r="N35" i="13"/>
  <c r="L36" i="13"/>
  <c r="N36" i="13"/>
  <c r="L37" i="13"/>
  <c r="N37" i="13"/>
  <c r="L38" i="13"/>
  <c r="N38" i="13"/>
  <c r="L39" i="13"/>
  <c r="N39" i="13"/>
  <c r="L40" i="13"/>
  <c r="N40" i="13" s="1"/>
  <c r="L41" i="13"/>
  <c r="N41" i="13"/>
  <c r="L42" i="13"/>
  <c r="N42" i="13"/>
  <c r="L43" i="13"/>
  <c r="N43" i="13"/>
  <c r="L44" i="13"/>
  <c r="N44" i="13"/>
  <c r="L45" i="13"/>
  <c r="N45" i="13"/>
  <c r="L46" i="13"/>
  <c r="N46" i="13" s="1"/>
  <c r="L47" i="13"/>
  <c r="N47" i="13"/>
  <c r="L48" i="13"/>
  <c r="N48" i="13"/>
  <c r="L49" i="13"/>
  <c r="N49" i="13"/>
  <c r="L50" i="13"/>
  <c r="N50" i="13"/>
  <c r="L51" i="13"/>
  <c r="N51" i="13"/>
  <c r="L52" i="13"/>
  <c r="N52" i="13" s="1"/>
  <c r="L53" i="13"/>
  <c r="N53" i="13"/>
  <c r="L54" i="13"/>
  <c r="N54" i="13"/>
  <c r="L55" i="13"/>
  <c r="N55" i="13"/>
  <c r="L56" i="13"/>
  <c r="N56" i="13"/>
  <c r="L57" i="13"/>
  <c r="N57" i="13"/>
  <c r="L58" i="13"/>
  <c r="N58" i="13" s="1"/>
  <c r="L59" i="13"/>
  <c r="N59" i="13"/>
  <c r="L60" i="13"/>
  <c r="N60" i="13"/>
  <c r="L61" i="13"/>
  <c r="N61" i="13"/>
  <c r="L62" i="13"/>
  <c r="N62" i="13"/>
  <c r="L63" i="13"/>
  <c r="N63" i="13"/>
  <c r="L64" i="13"/>
  <c r="N64" i="13" s="1"/>
  <c r="L65" i="13"/>
  <c r="N65" i="13"/>
  <c r="L66" i="13"/>
  <c r="N66" i="13"/>
  <c r="L67" i="13"/>
  <c r="N67" i="13"/>
  <c r="L68" i="13"/>
  <c r="N68" i="13"/>
  <c r="L69" i="13"/>
  <c r="N69" i="13"/>
  <c r="L70" i="13"/>
  <c r="N70" i="13" s="1"/>
  <c r="L71" i="13"/>
  <c r="N71" i="13"/>
  <c r="L72" i="13"/>
  <c r="N72" i="13"/>
  <c r="L73" i="13"/>
  <c r="N73" i="13"/>
  <c r="L74" i="13"/>
  <c r="N74" i="13"/>
  <c r="L75" i="13"/>
  <c r="N75" i="13"/>
  <c r="L76" i="13"/>
  <c r="N76" i="13" s="1"/>
  <c r="L77" i="13"/>
  <c r="N77" i="13"/>
  <c r="L78" i="13"/>
  <c r="N78" i="13"/>
  <c r="L79" i="13"/>
  <c r="N79" i="13"/>
  <c r="L80" i="13"/>
  <c r="N80" i="13"/>
  <c r="L81" i="13"/>
  <c r="N81" i="13"/>
  <c r="L82" i="13"/>
  <c r="N82" i="13" s="1"/>
  <c r="L83" i="13"/>
  <c r="N83" i="13"/>
  <c r="L84" i="13"/>
  <c r="N84" i="13"/>
  <c r="L85" i="13"/>
  <c r="N85" i="13"/>
  <c r="L86" i="13"/>
  <c r="N86" i="13"/>
  <c r="L87" i="13"/>
  <c r="N87" i="13"/>
  <c r="L88" i="13"/>
  <c r="N88" i="13" s="1"/>
  <c r="L89" i="13"/>
  <c r="N89" i="13"/>
  <c r="L90" i="13"/>
  <c r="N90" i="13"/>
  <c r="L91" i="13"/>
  <c r="N91" i="13"/>
  <c r="L92" i="13"/>
  <c r="N92" i="13"/>
  <c r="L93" i="13"/>
  <c r="N93" i="13"/>
  <c r="L94" i="13"/>
  <c r="N94" i="13" s="1"/>
  <c r="L95" i="13"/>
  <c r="N95" i="13"/>
  <c r="L96" i="13"/>
  <c r="N96" i="13"/>
  <c r="L97" i="13"/>
  <c r="N97" i="13"/>
  <c r="L98" i="13"/>
  <c r="N98" i="13"/>
  <c r="K22" i="10"/>
  <c r="K20" i="10"/>
  <c r="L20" i="10" s="1"/>
  <c r="N20" i="10" s="1"/>
  <c r="K17" i="10"/>
  <c r="L16" i="10"/>
  <c r="N16" i="10" s="1"/>
  <c r="L17" i="10"/>
  <c r="N17" i="10" s="1"/>
  <c r="L18" i="10"/>
  <c r="N18" i="10" s="1"/>
  <c r="L19" i="10"/>
  <c r="N19" i="10" s="1"/>
  <c r="L21" i="10"/>
  <c r="N21" i="10" s="1"/>
  <c r="L22" i="10"/>
  <c r="N22" i="10" s="1"/>
  <c r="L23" i="10"/>
  <c r="N23" i="10" s="1"/>
  <c r="L24" i="10"/>
  <c r="N24" i="10"/>
  <c r="L25" i="10"/>
  <c r="N25" i="10"/>
  <c r="L26" i="10"/>
  <c r="N26" i="10"/>
  <c r="L27" i="10"/>
  <c r="N27" i="10"/>
  <c r="L28" i="10"/>
  <c r="N28" i="10" s="1"/>
  <c r="L29" i="10"/>
  <c r="N29" i="10"/>
  <c r="L30" i="10"/>
  <c r="N30" i="10"/>
  <c r="L31" i="10"/>
  <c r="N31" i="10"/>
  <c r="L32" i="10"/>
  <c r="N32" i="10"/>
  <c r="L33" i="10"/>
  <c r="N33" i="10"/>
  <c r="L34" i="10"/>
  <c r="N34" i="10" s="1"/>
  <c r="L35" i="10"/>
  <c r="N35" i="10"/>
  <c r="L36" i="10"/>
  <c r="N36" i="10"/>
  <c r="L37" i="10"/>
  <c r="N37" i="10"/>
  <c r="L38" i="10"/>
  <c r="N38" i="10"/>
  <c r="L39" i="10"/>
  <c r="N39" i="10"/>
  <c r="L40" i="10"/>
  <c r="N40" i="10" s="1"/>
  <c r="L41" i="10"/>
  <c r="N41" i="10"/>
  <c r="L42" i="10"/>
  <c r="N42" i="10"/>
  <c r="L43" i="10"/>
  <c r="N43" i="10"/>
  <c r="L44" i="10"/>
  <c r="N44" i="10"/>
  <c r="L45" i="10"/>
  <c r="N45" i="10"/>
  <c r="L46" i="10"/>
  <c r="N46" i="10" s="1"/>
  <c r="L47" i="10"/>
  <c r="N47" i="10"/>
  <c r="K30" i="4"/>
  <c r="L30" i="4" s="1"/>
  <c r="N30" i="4" s="1"/>
  <c r="L29" i="4"/>
  <c r="N29" i="4" s="1"/>
  <c r="L22" i="4"/>
  <c r="N22" i="4" s="1"/>
  <c r="L23" i="4"/>
  <c r="N23" i="4" s="1"/>
  <c r="L24" i="4"/>
  <c r="N24" i="4" s="1"/>
  <c r="L25" i="4"/>
  <c r="N25" i="4" s="1"/>
  <c r="L26" i="4"/>
  <c r="N26" i="4" s="1"/>
  <c r="L27" i="4"/>
  <c r="N27" i="4" s="1"/>
  <c r="K40" i="4"/>
  <c r="L40" i="4" s="1"/>
  <c r="N40" i="4" s="1"/>
  <c r="L28" i="4"/>
  <c r="N28" i="4" s="1"/>
  <c r="L31" i="4"/>
  <c r="N31" i="4" s="1"/>
  <c r="L32" i="4"/>
  <c r="N32" i="4" s="1"/>
  <c r="L33" i="4"/>
  <c r="N33" i="4" s="1"/>
  <c r="L34" i="4"/>
  <c r="N34" i="4" s="1"/>
  <c r="L35" i="4"/>
  <c r="N35" i="4" s="1"/>
  <c r="L36" i="4"/>
  <c r="N36" i="4" s="1"/>
  <c r="L37" i="4"/>
  <c r="N37" i="4" s="1"/>
  <c r="L38" i="4"/>
  <c r="N38" i="4" s="1"/>
  <c r="L43" i="16"/>
  <c r="N43" i="16" s="1"/>
  <c r="L44" i="16"/>
  <c r="N44" i="16"/>
  <c r="L45" i="16"/>
  <c r="N45" i="16" s="1"/>
  <c r="L46" i="16"/>
  <c r="N46" i="16" s="1"/>
  <c r="L47" i="16"/>
  <c r="N47" i="16"/>
  <c r="L48" i="16"/>
  <c r="N48" i="16"/>
  <c r="L49" i="16"/>
  <c r="N49" i="16"/>
  <c r="L50" i="16"/>
  <c r="N50" i="16"/>
  <c r="L51" i="16"/>
  <c r="N51" i="16" s="1"/>
  <c r="L52" i="16"/>
  <c r="N52" i="16" s="1"/>
  <c r="L53" i="16"/>
  <c r="N53" i="16"/>
  <c r="L54" i="16"/>
  <c r="N54" i="16"/>
  <c r="L55" i="16"/>
  <c r="N55" i="16"/>
  <c r="L56" i="16"/>
  <c r="N56" i="16"/>
  <c r="L57" i="16"/>
  <c r="N57" i="16" s="1"/>
  <c r="L58" i="16"/>
  <c r="N58" i="16" s="1"/>
  <c r="L59" i="16"/>
  <c r="N59" i="16"/>
  <c r="L60" i="16"/>
  <c r="N60" i="16"/>
  <c r="L61" i="16"/>
  <c r="N61" i="16"/>
  <c r="L62" i="16"/>
  <c r="N62" i="16"/>
  <c r="L63" i="16"/>
  <c r="N63" i="16" s="1"/>
  <c r="L64" i="16"/>
  <c r="N64" i="16" s="1"/>
  <c r="L65" i="16"/>
  <c r="N65" i="16"/>
  <c r="L66" i="16"/>
  <c r="N66" i="16"/>
  <c r="L67" i="16"/>
  <c r="N67" i="16"/>
  <c r="L68" i="16"/>
  <c r="N68" i="16"/>
  <c r="K20" i="15"/>
  <c r="L16" i="15"/>
  <c r="N16" i="15" s="1"/>
  <c r="L17" i="15"/>
  <c r="N17" i="15" s="1"/>
  <c r="L18" i="15"/>
  <c r="N18" i="15" s="1"/>
  <c r="L19" i="15"/>
  <c r="N19" i="15" s="1"/>
  <c r="L20" i="15"/>
  <c r="N20" i="15" s="1"/>
  <c r="L21" i="15"/>
  <c r="N21" i="15" s="1"/>
  <c r="L22" i="15"/>
  <c r="N22" i="15" s="1"/>
  <c r="L23" i="15"/>
  <c r="N23" i="15" s="1"/>
  <c r="L24" i="15"/>
  <c r="N24" i="15"/>
  <c r="L25" i="15"/>
  <c r="N25" i="15"/>
  <c r="L26" i="15"/>
  <c r="N26" i="15" s="1"/>
  <c r="L27" i="15"/>
  <c r="N27" i="15"/>
  <c r="L28" i="15"/>
  <c r="N28" i="15" s="1"/>
  <c r="L29" i="15"/>
  <c r="N29" i="15" s="1"/>
  <c r="L30" i="15"/>
  <c r="N30" i="15"/>
  <c r="L31" i="15"/>
  <c r="N31" i="15"/>
  <c r="L32" i="15"/>
  <c r="N32" i="15" s="1"/>
  <c r="L33" i="15"/>
  <c r="N33" i="15"/>
  <c r="L34" i="15"/>
  <c r="N34" i="15" s="1"/>
  <c r="L35" i="15"/>
  <c r="N35" i="15" s="1"/>
  <c r="L36" i="15"/>
  <c r="N36" i="15"/>
  <c r="L37" i="15"/>
  <c r="N37" i="15"/>
  <c r="L38" i="15"/>
  <c r="N38" i="15" s="1"/>
  <c r="L39" i="15"/>
  <c r="N39" i="15"/>
  <c r="L40" i="15"/>
  <c r="N40" i="15" s="1"/>
  <c r="L41" i="15"/>
  <c r="N41" i="15" s="1"/>
  <c r="L42" i="15"/>
  <c r="N42" i="15"/>
  <c r="L43" i="15"/>
  <c r="N43" i="15"/>
  <c r="L44" i="15"/>
  <c r="N44" i="15" s="1"/>
  <c r="L45" i="15"/>
  <c r="N45" i="15"/>
  <c r="L46" i="15"/>
  <c r="N46" i="15" s="1"/>
  <c r="L47" i="15"/>
  <c r="N47" i="15" s="1"/>
  <c r="L48" i="15"/>
  <c r="N48" i="15"/>
  <c r="L49" i="15"/>
  <c r="N49" i="15"/>
  <c r="L50" i="15"/>
  <c r="N50" i="15" s="1"/>
  <c r="L51" i="15"/>
  <c r="N51" i="15"/>
  <c r="L52" i="15"/>
  <c r="N52" i="15" s="1"/>
  <c r="L53" i="15"/>
  <c r="N53" i="15" s="1"/>
  <c r="L54" i="15"/>
  <c r="N54" i="15"/>
  <c r="L55" i="15"/>
  <c r="N55" i="15"/>
  <c r="L56" i="15"/>
  <c r="N56" i="15" s="1"/>
  <c r="L57" i="15"/>
  <c r="N57" i="15"/>
  <c r="L58" i="15"/>
  <c r="N58" i="15" s="1"/>
  <c r="L59" i="15"/>
  <c r="N59" i="15" s="1"/>
  <c r="L60" i="15"/>
  <c r="N60" i="15"/>
  <c r="L61" i="15"/>
  <c r="N61" i="15"/>
  <c r="L62" i="15"/>
  <c r="N62" i="15" s="1"/>
  <c r="L63" i="15"/>
  <c r="N63" i="15"/>
  <c r="K19" i="14"/>
  <c r="L37" i="12"/>
  <c r="N37" i="12" s="1"/>
  <c r="L36" i="12"/>
  <c r="N36" i="12" s="1"/>
  <c r="L35" i="12"/>
  <c r="N35" i="12" s="1"/>
  <c r="L34" i="12"/>
  <c r="N34" i="12" s="1"/>
  <c r="L33" i="12"/>
  <c r="N33" i="12" s="1"/>
  <c r="L32" i="12"/>
  <c r="N32" i="12" s="1"/>
  <c r="L31" i="12"/>
  <c r="N31" i="12" s="1"/>
  <c r="L30" i="12"/>
  <c r="N30" i="12" s="1"/>
  <c r="L29" i="12"/>
  <c r="N29" i="12" s="1"/>
  <c r="L20" i="4"/>
  <c r="N20" i="4" s="1"/>
  <c r="L19" i="4"/>
  <c r="N19" i="4" s="1"/>
  <c r="L17" i="12"/>
  <c r="N17" i="12"/>
  <c r="L18" i="12"/>
  <c r="N18" i="12" s="1"/>
  <c r="L19" i="12"/>
  <c r="N19" i="12" s="1"/>
  <c r="L20" i="12"/>
  <c r="N20" i="12" s="1"/>
  <c r="L21" i="12"/>
  <c r="N21" i="12" s="1"/>
  <c r="L22" i="12"/>
  <c r="N22" i="12" s="1"/>
  <c r="L23" i="12"/>
  <c r="N23" i="12" s="1"/>
  <c r="L24" i="12"/>
  <c r="N24" i="12" s="1"/>
  <c r="L25" i="12"/>
  <c r="N25" i="12" s="1"/>
  <c r="L26" i="12"/>
  <c r="N26" i="12" s="1"/>
  <c r="L27" i="12"/>
  <c r="N27" i="12" s="1"/>
  <c r="L28" i="12"/>
  <c r="N28" i="12" s="1"/>
  <c r="L38" i="12"/>
  <c r="N38" i="12" s="1"/>
  <c r="L39" i="12"/>
  <c r="N39" i="12"/>
  <c r="L40" i="12"/>
  <c r="N40" i="12"/>
  <c r="L41" i="12"/>
  <c r="N41" i="12"/>
  <c r="L42" i="12"/>
  <c r="N42" i="12"/>
  <c r="L43" i="12"/>
  <c r="N43" i="12" s="1"/>
  <c r="L44" i="12"/>
  <c r="N44" i="12" s="1"/>
  <c r="L45" i="12"/>
  <c r="N45" i="12"/>
  <c r="L46" i="12"/>
  <c r="N46" i="12"/>
  <c r="L47" i="12"/>
  <c r="N47" i="12"/>
  <c r="L48" i="12"/>
  <c r="N48" i="12"/>
  <c r="L49" i="12"/>
  <c r="N49" i="12" s="1"/>
  <c r="L50" i="12"/>
  <c r="N50" i="12" s="1"/>
  <c r="L51" i="12"/>
  <c r="N51" i="12"/>
  <c r="L52" i="12"/>
  <c r="N52" i="12"/>
  <c r="L53" i="12"/>
  <c r="N53" i="12"/>
  <c r="L54" i="12"/>
  <c r="N54" i="12"/>
  <c r="L55" i="12"/>
  <c r="N55" i="12" s="1"/>
  <c r="L56" i="12"/>
  <c r="N56" i="12" s="1"/>
  <c r="L57" i="12"/>
  <c r="N57" i="12"/>
  <c r="L58" i="12"/>
  <c r="N58" i="12"/>
  <c r="L59" i="12"/>
  <c r="N59" i="12"/>
  <c r="L60" i="12"/>
  <c r="N60" i="12"/>
  <c r="L61" i="12"/>
  <c r="N61" i="12" s="1"/>
  <c r="L62" i="12"/>
  <c r="N62" i="12" s="1"/>
  <c r="L63" i="12"/>
  <c r="N63" i="12"/>
  <c r="L64" i="12"/>
  <c r="N64" i="12"/>
  <c r="L65" i="12"/>
  <c r="N65" i="12"/>
  <c r="L66" i="12"/>
  <c r="N66" i="12"/>
  <c r="L67" i="12"/>
  <c r="N67" i="12" s="1"/>
  <c r="L68" i="12"/>
  <c r="N68" i="12" s="1"/>
  <c r="L69" i="12"/>
  <c r="N69" i="12"/>
  <c r="L70" i="12"/>
  <c r="N70" i="12"/>
  <c r="L71" i="12"/>
  <c r="N71" i="12"/>
  <c r="L72" i="12"/>
  <c r="N72" i="12"/>
  <c r="L73" i="12"/>
  <c r="N73" i="12" s="1"/>
  <c r="L74" i="12"/>
  <c r="N74" i="12" s="1"/>
  <c r="L75" i="12"/>
  <c r="N75" i="12"/>
  <c r="L76" i="12"/>
  <c r="N76" i="12"/>
  <c r="L77" i="12"/>
  <c r="N77" i="12"/>
  <c r="L78" i="12"/>
  <c r="N78" i="12"/>
  <c r="L79" i="12"/>
  <c r="N79" i="12" s="1"/>
  <c r="L80" i="12"/>
  <c r="N80" i="12" s="1"/>
  <c r="L81" i="12"/>
  <c r="N81" i="12"/>
  <c r="L82" i="12"/>
  <c r="N82" i="12"/>
  <c r="L83" i="12"/>
  <c r="N83" i="12"/>
  <c r="L84" i="12"/>
  <c r="N84" i="12"/>
  <c r="L85" i="12"/>
  <c r="N85" i="12" s="1"/>
  <c r="L86" i="12"/>
  <c r="N86" i="12" s="1"/>
  <c r="L87" i="12"/>
  <c r="N87" i="12"/>
  <c r="L88" i="12"/>
  <c r="N88" i="12"/>
  <c r="L89" i="12"/>
  <c r="N89" i="12"/>
  <c r="L90" i="12"/>
  <c r="N90" i="12"/>
  <c r="L91" i="12"/>
  <c r="N91" i="12" s="1"/>
  <c r="L92" i="12"/>
  <c r="N92" i="12" s="1"/>
  <c r="L93" i="12"/>
  <c r="N93" i="12"/>
  <c r="L94" i="12"/>
  <c r="N94" i="12"/>
  <c r="L95" i="12"/>
  <c r="N95" i="12"/>
  <c r="L96" i="12"/>
  <c r="N96" i="12"/>
  <c r="L97" i="12"/>
  <c r="N97" i="12" s="1"/>
  <c r="L98" i="12"/>
  <c r="N98" i="12" s="1"/>
  <c r="L99" i="12"/>
  <c r="N99" i="12"/>
  <c r="L100" i="12"/>
  <c r="N100" i="12"/>
  <c r="L101" i="12"/>
  <c r="N101" i="12"/>
  <c r="L102" i="12"/>
  <c r="N102" i="12"/>
  <c r="L103" i="12"/>
  <c r="N103" i="12" s="1"/>
  <c r="L104" i="12"/>
  <c r="N104" i="12" s="1"/>
  <c r="L105" i="12"/>
  <c r="N105" i="12"/>
  <c r="L106" i="12"/>
  <c r="N106" i="12"/>
  <c r="L107" i="12"/>
  <c r="N107" i="12"/>
  <c r="L108" i="12"/>
  <c r="N108" i="12"/>
  <c r="L109" i="12"/>
  <c r="N109" i="12" s="1"/>
  <c r="L110" i="12"/>
  <c r="N110" i="12" s="1"/>
  <c r="L111" i="12"/>
  <c r="N111" i="12"/>
  <c r="L112" i="12"/>
  <c r="N112" i="12"/>
  <c r="L113" i="12"/>
  <c r="N113" i="12"/>
  <c r="L114" i="12"/>
  <c r="N114" i="12"/>
  <c r="L115" i="12"/>
  <c r="N115" i="12" s="1"/>
  <c r="L116" i="12"/>
  <c r="N116" i="12" s="1"/>
  <c r="L117" i="12"/>
  <c r="N117" i="12"/>
  <c r="L118" i="12"/>
  <c r="N118" i="12"/>
  <c r="L119" i="12"/>
  <c r="N119" i="12"/>
  <c r="L12" i="12"/>
  <c r="N12" i="12" s="1"/>
  <c r="L17" i="14"/>
  <c r="N17" i="14" s="1"/>
  <c r="L18" i="14"/>
  <c r="N18" i="14"/>
  <c r="L19" i="14"/>
  <c r="N19" i="14" s="1"/>
  <c r="L20" i="14"/>
  <c r="N20" i="14"/>
  <c r="L21" i="14"/>
  <c r="N21" i="14"/>
  <c r="L22" i="14"/>
  <c r="N22" i="14"/>
  <c r="L23" i="14"/>
  <c r="N23" i="14"/>
  <c r="L24" i="14"/>
  <c r="N24" i="14"/>
  <c r="L25" i="14"/>
  <c r="N25" i="14"/>
  <c r="L26" i="14"/>
  <c r="N26" i="14"/>
  <c r="L27" i="14"/>
  <c r="N27" i="14"/>
  <c r="L28" i="14"/>
  <c r="N28" i="14"/>
  <c r="L29" i="14"/>
  <c r="N29" i="14"/>
  <c r="L30" i="14"/>
  <c r="N30" i="14"/>
  <c r="L31" i="14"/>
  <c r="N31" i="14"/>
  <c r="L32" i="14"/>
  <c r="N32" i="14"/>
  <c r="L33" i="14"/>
  <c r="N33" i="14"/>
  <c r="L34" i="14"/>
  <c r="N34" i="14"/>
  <c r="L35" i="14"/>
  <c r="N35" i="14"/>
  <c r="L36" i="14"/>
  <c r="N36" i="14"/>
  <c r="L37" i="14"/>
  <c r="N37" i="14"/>
  <c r="L38" i="14"/>
  <c r="N38" i="14"/>
  <c r="L39" i="14"/>
  <c r="N39" i="14"/>
  <c r="L40" i="14"/>
  <c r="N40" i="14"/>
  <c r="L41" i="14"/>
  <c r="N41" i="14"/>
  <c r="L42" i="14"/>
  <c r="N42" i="14"/>
  <c r="L43" i="14"/>
  <c r="N43" i="14"/>
  <c r="L44" i="14"/>
  <c r="N44" i="14"/>
  <c r="L45" i="14"/>
  <c r="N45" i="14"/>
  <c r="L46" i="14"/>
  <c r="N46" i="14"/>
  <c r="L47" i="14"/>
  <c r="N47" i="14"/>
  <c r="L48" i="14"/>
  <c r="N48" i="14"/>
  <c r="L49" i="14"/>
  <c r="N49" i="14"/>
  <c r="L50" i="14"/>
  <c r="N50" i="14"/>
  <c r="L16" i="14"/>
  <c r="N16" i="14" s="1"/>
  <c r="K25" i="11"/>
  <c r="L25" i="11"/>
  <c r="N25" i="11" s="1"/>
  <c r="L26" i="11"/>
  <c r="N26" i="11"/>
  <c r="L27" i="11"/>
  <c r="N27" i="11"/>
  <c r="L28" i="11"/>
  <c r="N28" i="11"/>
  <c r="L29" i="11"/>
  <c r="N29" i="11"/>
  <c r="L30" i="11"/>
  <c r="N30" i="11"/>
  <c r="L31" i="11"/>
  <c r="N31" i="11"/>
  <c r="L32" i="11"/>
  <c r="N32" i="11"/>
  <c r="L33" i="11"/>
  <c r="N33" i="11"/>
  <c r="L34" i="11"/>
  <c r="N34" i="11"/>
  <c r="L35" i="11"/>
  <c r="N35" i="11"/>
  <c r="L36" i="11"/>
  <c r="N36" i="11"/>
  <c r="L37" i="11"/>
  <c r="N37" i="11"/>
  <c r="L38" i="11"/>
  <c r="N38" i="11"/>
  <c r="L39" i="11"/>
  <c r="N39" i="11"/>
  <c r="L40" i="11"/>
  <c r="N40" i="11"/>
  <c r="L41" i="11"/>
  <c r="N41" i="11"/>
  <c r="L42" i="11"/>
  <c r="N42" i="11" s="1"/>
  <c r="L43" i="11"/>
  <c r="N43" i="11"/>
  <c r="L44" i="11"/>
  <c r="N44" i="11"/>
  <c r="L45" i="11"/>
  <c r="N45" i="11"/>
  <c r="L46" i="11"/>
  <c r="N46" i="11"/>
  <c r="L47" i="11"/>
  <c r="N47" i="11"/>
  <c r="L48" i="11"/>
  <c r="N48" i="11"/>
  <c r="L49" i="11"/>
  <c r="N49" i="11"/>
  <c r="L50" i="11"/>
  <c r="N50" i="11"/>
  <c r="L51" i="11"/>
  <c r="N51" i="11"/>
  <c r="L52" i="11"/>
  <c r="N52" i="11"/>
  <c r="L53" i="11"/>
  <c r="N53" i="11"/>
  <c r="L54" i="11"/>
  <c r="N54" i="11"/>
  <c r="L55" i="11"/>
  <c r="N55" i="11"/>
  <c r="L56" i="11"/>
  <c r="N56" i="11"/>
  <c r="L57" i="11"/>
  <c r="N57" i="11"/>
  <c r="L58" i="11"/>
  <c r="N58" i="11"/>
  <c r="L59" i="11"/>
  <c r="N59" i="11"/>
  <c r="L60" i="11"/>
  <c r="N60" i="11"/>
  <c r="L61" i="11"/>
  <c r="N61" i="11"/>
  <c r="L62" i="11"/>
  <c r="N62" i="11"/>
  <c r="L63" i="11"/>
  <c r="N63" i="11"/>
  <c r="L64" i="11"/>
  <c r="N64" i="11"/>
  <c r="L65" i="11"/>
  <c r="N65" i="11"/>
  <c r="L66" i="11"/>
  <c r="N66" i="11"/>
  <c r="L67" i="11"/>
  <c r="N67" i="11"/>
  <c r="L68" i="11"/>
  <c r="N68" i="11"/>
  <c r="L69" i="11"/>
  <c r="N69" i="11"/>
  <c r="L70" i="11"/>
  <c r="N70" i="11"/>
  <c r="L71" i="11"/>
  <c r="N71" i="11"/>
  <c r="L72" i="11"/>
  <c r="N72" i="11"/>
  <c r="L73" i="11"/>
  <c r="N73" i="11"/>
  <c r="L74" i="11"/>
  <c r="N74" i="11"/>
  <c r="L75" i="11"/>
  <c r="N75" i="11"/>
  <c r="L76" i="11"/>
  <c r="N76" i="11"/>
  <c r="L77" i="11"/>
  <c r="N77" i="11"/>
  <c r="L78" i="11"/>
  <c r="N78" i="11"/>
  <c r="L79" i="11"/>
  <c r="N79" i="11"/>
  <c r="L80" i="11"/>
  <c r="N80" i="11"/>
  <c r="L81" i="11"/>
  <c r="N81" i="11"/>
  <c r="L82" i="11"/>
  <c r="N82" i="11"/>
  <c r="L83" i="11"/>
  <c r="N83" i="11"/>
  <c r="L84" i="11"/>
  <c r="N84" i="11"/>
  <c r="L85" i="11"/>
  <c r="N85" i="11"/>
  <c r="L86" i="11"/>
  <c r="N86" i="11"/>
  <c r="K9" i="11"/>
  <c r="K11" i="11"/>
  <c r="L16" i="11"/>
  <c r="N16" i="11" s="1"/>
  <c r="L17" i="11"/>
  <c r="N17" i="11" s="1"/>
  <c r="L18" i="11"/>
  <c r="N18" i="11"/>
  <c r="L19" i="11"/>
  <c r="N19" i="11" s="1"/>
  <c r="L20" i="11"/>
  <c r="N20" i="11" s="1"/>
  <c r="L21" i="11"/>
  <c r="N21" i="11" s="1"/>
  <c r="L22" i="11"/>
  <c r="N22" i="11" s="1"/>
  <c r="L23" i="11"/>
  <c r="N23" i="11" s="1"/>
  <c r="L24" i="11"/>
  <c r="N24" i="11" s="1"/>
  <c r="L16" i="16"/>
  <c r="N16" i="16"/>
  <c r="L17" i="16"/>
  <c r="N17" i="16"/>
  <c r="L18" i="16"/>
  <c r="N18" i="16"/>
  <c r="L19" i="16"/>
  <c r="N19" i="16"/>
  <c r="L20" i="16"/>
  <c r="N20" i="16"/>
  <c r="L21" i="16"/>
  <c r="N21" i="16"/>
  <c r="L22" i="16"/>
  <c r="N22" i="16"/>
  <c r="L23" i="16"/>
  <c r="N23" i="16"/>
  <c r="L24" i="16"/>
  <c r="N24" i="16"/>
  <c r="L25" i="16"/>
  <c r="N25" i="16"/>
  <c r="L26" i="16"/>
  <c r="N26" i="16"/>
  <c r="L27" i="16"/>
  <c r="N27" i="16"/>
  <c r="L28" i="16"/>
  <c r="N28" i="16"/>
  <c r="L29" i="16"/>
  <c r="N29" i="16"/>
  <c r="L30" i="16"/>
  <c r="N30" i="16"/>
  <c r="L31" i="16"/>
  <c r="N31" i="16"/>
  <c r="L32" i="16"/>
  <c r="N32" i="16" s="1"/>
  <c r="L33" i="16"/>
  <c r="N33" i="16"/>
  <c r="L34" i="16"/>
  <c r="N34" i="16" s="1"/>
  <c r="L35" i="16"/>
  <c r="N35" i="16" s="1"/>
  <c r="L36" i="16"/>
  <c r="N36" i="16" s="1"/>
  <c r="L37" i="16"/>
  <c r="N37" i="16" s="1"/>
  <c r="L38" i="16"/>
  <c r="N38" i="16"/>
  <c r="L39" i="16"/>
  <c r="N39" i="16" s="1"/>
  <c r="L40" i="16"/>
  <c r="N40" i="16" s="1"/>
  <c r="L41" i="16"/>
  <c r="N41" i="16" s="1"/>
  <c r="L42" i="16"/>
  <c r="N42" i="16" s="1"/>
  <c r="L15" i="16"/>
  <c r="N15" i="16" s="1"/>
  <c r="L14" i="16"/>
  <c r="N14" i="16" s="1"/>
  <c r="L13" i="16"/>
  <c r="N13" i="16" s="1"/>
  <c r="L12" i="16"/>
  <c r="N12" i="16" s="1"/>
  <c r="L11" i="16"/>
  <c r="N11" i="16" s="1"/>
  <c r="L10" i="16"/>
  <c r="N10" i="16" s="1"/>
  <c r="L9" i="16"/>
  <c r="N9" i="16" s="1"/>
  <c r="L8" i="16"/>
  <c r="N8" i="16" s="1"/>
  <c r="L7" i="16"/>
  <c r="N7" i="16" s="1"/>
  <c r="L15" i="15"/>
  <c r="N15" i="15" s="1"/>
  <c r="L14" i="15"/>
  <c r="N14" i="15" s="1"/>
  <c r="L13" i="15"/>
  <c r="N13" i="15" s="1"/>
  <c r="L12" i="15"/>
  <c r="N12" i="15" s="1"/>
  <c r="L11" i="15"/>
  <c r="N11" i="15" s="1"/>
  <c r="L10" i="15"/>
  <c r="N10" i="15" s="1"/>
  <c r="L9" i="15"/>
  <c r="N9" i="15" s="1"/>
  <c r="L8" i="15"/>
  <c r="N8" i="15" s="1"/>
  <c r="L7" i="15"/>
  <c r="N7" i="15" s="1"/>
  <c r="L8" i="14"/>
  <c r="N8" i="14" s="1"/>
  <c r="L9" i="14"/>
  <c r="N9" i="14"/>
  <c r="L10" i="14"/>
  <c r="N10" i="14" s="1"/>
  <c r="L11" i="14"/>
  <c r="N11" i="14"/>
  <c r="L12" i="14"/>
  <c r="N12" i="14" s="1"/>
  <c r="L13" i="14"/>
  <c r="N13" i="14" s="1"/>
  <c r="L14" i="14"/>
  <c r="N14" i="14" s="1"/>
  <c r="L15" i="14"/>
  <c r="N15" i="14" s="1"/>
  <c r="K9" i="13"/>
  <c r="L9" i="13"/>
  <c r="N9" i="13" s="1"/>
  <c r="L10" i="13"/>
  <c r="N10" i="13" s="1"/>
  <c r="L11" i="13"/>
  <c r="N11" i="13" s="1"/>
  <c r="L12" i="13"/>
  <c r="N12" i="13"/>
  <c r="L13" i="13"/>
  <c r="N13" i="13" s="1"/>
  <c r="L14" i="13"/>
  <c r="N14" i="13" s="1"/>
  <c r="L15" i="13"/>
  <c r="N15" i="13" s="1"/>
  <c r="L8" i="13"/>
  <c r="N8" i="13" s="1"/>
  <c r="L8" i="12"/>
  <c r="N8" i="12" s="1"/>
  <c r="L9" i="12"/>
  <c r="N9" i="12" s="1"/>
  <c r="L10" i="12"/>
  <c r="N10" i="12" s="1"/>
  <c r="L11" i="12"/>
  <c r="N11" i="12" s="1"/>
  <c r="L13" i="12"/>
  <c r="N13" i="12" s="1"/>
  <c r="L14" i="12"/>
  <c r="N14" i="12" s="1"/>
  <c r="L15" i="12"/>
  <c r="N15" i="12" s="1"/>
  <c r="L16" i="12"/>
  <c r="N16" i="12" s="1"/>
  <c r="L7" i="14"/>
  <c r="N7" i="14" s="1"/>
  <c r="L7" i="13"/>
  <c r="N7" i="13" s="1"/>
  <c r="L7" i="12"/>
  <c r="N7" i="12" s="1"/>
  <c r="L11" i="11"/>
  <c r="N11" i="11" s="1"/>
  <c r="L8" i="11"/>
  <c r="N8" i="11" s="1"/>
  <c r="L9" i="11"/>
  <c r="N9" i="11" s="1"/>
  <c r="L10" i="11"/>
  <c r="N10" i="11" s="1"/>
  <c r="L12" i="11"/>
  <c r="N12" i="11" s="1"/>
  <c r="L13" i="11"/>
  <c r="N13" i="11"/>
  <c r="L14" i="11"/>
  <c r="N14" i="11" s="1"/>
  <c r="L15" i="11"/>
  <c r="N15" i="11" s="1"/>
  <c r="L7" i="11"/>
  <c r="N7" i="11" s="1"/>
  <c r="Q8" i="10"/>
  <c r="L8" i="10"/>
  <c r="N8" i="10"/>
  <c r="L9" i="10"/>
  <c r="N9" i="10" s="1"/>
  <c r="L10" i="10"/>
  <c r="N10" i="10"/>
  <c r="L11" i="10"/>
  <c r="N11" i="10" s="1"/>
  <c r="L12" i="10"/>
  <c r="N12" i="10"/>
  <c r="L13" i="10"/>
  <c r="N13" i="10"/>
  <c r="L14" i="10"/>
  <c r="N14" i="10"/>
  <c r="L15" i="10"/>
  <c r="N15" i="10" s="1"/>
  <c r="L7" i="10"/>
  <c r="N7" i="10" s="1"/>
  <c r="L7" i="9"/>
  <c r="N7" i="9" s="1"/>
  <c r="Q12" i="4"/>
  <c r="L16" i="4"/>
  <c r="N16" i="4" s="1"/>
  <c r="L17" i="4"/>
  <c r="N17" i="4" s="1"/>
  <c r="L18" i="4"/>
  <c r="N18" i="4" s="1"/>
  <c r="L21" i="4"/>
  <c r="N21" i="4" s="1"/>
  <c r="L39" i="4"/>
  <c r="N39" i="4" s="1"/>
  <c r="L41" i="4"/>
  <c r="N41" i="4" s="1"/>
  <c r="L42" i="4"/>
  <c r="N42" i="4" s="1"/>
  <c r="L43" i="4"/>
  <c r="N43" i="4" s="1"/>
  <c r="L44" i="4"/>
  <c r="N44" i="4" s="1"/>
  <c r="L45" i="4"/>
  <c r="N45" i="4" s="1"/>
  <c r="L46" i="4"/>
  <c r="N46" i="4" s="1"/>
  <c r="L47" i="4"/>
  <c r="N47" i="4" s="1"/>
  <c r="L48" i="4"/>
  <c r="N48" i="4" s="1"/>
  <c r="L49" i="4"/>
  <c r="N49" i="4" s="1"/>
  <c r="L50" i="4"/>
  <c r="N50" i="4" s="1"/>
  <c r="L51" i="4"/>
  <c r="N51" i="4" s="1"/>
  <c r="L52" i="4"/>
  <c r="N52" i="4" s="1"/>
  <c r="L53" i="4"/>
  <c r="N53" i="4" s="1"/>
  <c r="L54" i="4"/>
  <c r="N54" i="4" s="1"/>
  <c r="L55" i="4"/>
  <c r="N55" i="4" s="1"/>
  <c r="L56" i="4"/>
  <c r="N56" i="4" s="1"/>
  <c r="L57" i="4"/>
  <c r="N57" i="4" s="1"/>
  <c r="L58" i="4"/>
  <c r="N58" i="4" s="1"/>
  <c r="L59" i="4"/>
  <c r="N59" i="4" s="1"/>
  <c r="L60" i="4"/>
  <c r="N60" i="4" s="1"/>
  <c r="L61" i="4"/>
  <c r="N61" i="4" s="1"/>
  <c r="L62" i="4"/>
  <c r="N62" i="4" s="1"/>
  <c r="L63" i="4"/>
  <c r="N63" i="4" s="1"/>
  <c r="L64" i="4"/>
  <c r="N64" i="4" s="1"/>
  <c r="L65" i="4"/>
  <c r="N65" i="4" s="1"/>
  <c r="L66" i="4"/>
  <c r="N66" i="4" s="1"/>
  <c r="L67" i="4"/>
  <c r="N67" i="4" s="1"/>
  <c r="L68" i="4"/>
  <c r="N68" i="4" s="1"/>
  <c r="L69" i="4"/>
  <c r="N69" i="4" s="1"/>
  <c r="L70" i="4"/>
  <c r="N70" i="4" s="1"/>
  <c r="L71" i="4"/>
  <c r="N71" i="4" s="1"/>
  <c r="L72" i="4"/>
  <c r="N72" i="4" s="1"/>
  <c r="L73" i="4"/>
  <c r="N73" i="4" s="1"/>
  <c r="L74" i="4"/>
  <c r="L75" i="4"/>
  <c r="L76" i="4"/>
  <c r="L77" i="4"/>
  <c r="L78" i="4"/>
  <c r="L79" i="4"/>
  <c r="L80" i="4"/>
  <c r="L8" i="4"/>
  <c r="N8" i="4" s="1"/>
  <c r="L9" i="4"/>
  <c r="N9" i="4" s="1"/>
  <c r="L10" i="4"/>
  <c r="N10" i="4" s="1"/>
  <c r="L11" i="4"/>
  <c r="N11" i="4" s="1"/>
  <c r="L12" i="4"/>
  <c r="L13" i="4"/>
  <c r="N13" i="4" s="1"/>
  <c r="L14" i="4"/>
  <c r="N14" i="4" s="1"/>
  <c r="L15" i="4"/>
  <c r="N15" i="4" s="1"/>
  <c r="L7" i="4"/>
  <c r="N7" i="4" s="1"/>
  <c r="Q11" i="4" l="1"/>
  <c r="N1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F17" authorId="0" shapeId="0" xr:uid="{A2C65CB5-3120-4E63-AB5E-3EA38C1EFA59}">
      <text/>
    </comment>
  </commentList>
</comments>
</file>

<file path=xl/sharedStrings.xml><?xml version="1.0" encoding="utf-8"?>
<sst xmlns="http://schemas.openxmlformats.org/spreadsheetml/2006/main" count="816" uniqueCount="266">
  <si>
    <r>
      <rPr>
        <b/>
        <sz val="8"/>
        <rFont val="Calibri"/>
        <family val="1"/>
      </rPr>
      <t>VIGENCIA: 04/12/2025</t>
    </r>
  </si>
  <si>
    <t>FECHA</t>
  </si>
  <si>
    <t>OPERACIÓN</t>
  </si>
  <si>
    <t>IDENTIFICACION  DE PROYECTO</t>
  </si>
  <si>
    <t>IDENTIFICACION DE PLANO</t>
  </si>
  <si>
    <t>OBSERVACION</t>
  </si>
  <si>
    <t>TAKE TIME</t>
  </si>
  <si>
    <t>HORA Inicio</t>
  </si>
  <si>
    <t>HORA Final</t>
  </si>
  <si>
    <r>
      <t>Elaborada por:</t>
    </r>
    <r>
      <rPr>
        <b/>
        <sz val="8.5"/>
        <rFont val="Calibri"/>
      </rPr>
      <t xml:space="preserve"> Candela Murua</t>
    </r>
  </si>
  <si>
    <t>Aprobada por: Direccion</t>
  </si>
  <si>
    <t>Tiempo de paradas</t>
  </si>
  <si>
    <t>resultado Min/U</t>
  </si>
  <si>
    <t>Minutos totales de produccion</t>
  </si>
  <si>
    <t>LIBERACION PIEZAS (LIDER)</t>
  </si>
  <si>
    <t>DESCRIPCIÓN OPERACIÓN</t>
  </si>
  <si>
    <t>TIEMPO DE EJECUCIÓN REAL</t>
  </si>
  <si>
    <t>OPERARIO RESPONSABLE:</t>
  </si>
  <si>
    <t>REGISTRO DE PRODUCCIÓN</t>
  </si>
  <si>
    <t>FECHA EMISION: 16/12/2025</t>
  </si>
  <si>
    <t>FECHA OBJETIVO: 20/12/2025</t>
  </si>
  <si>
    <t>F-PROD-01-B</t>
  </si>
  <si>
    <t>CANTIDAD (UNIDADES POR PLANO)</t>
  </si>
  <si>
    <t>Unidades</t>
  </si>
  <si>
    <t>G800</t>
  </si>
  <si>
    <t>P01 03 009</t>
  </si>
  <si>
    <t>FRESADO</t>
  </si>
  <si>
    <t>CORREDERA EN 4 PERFORACIONES</t>
  </si>
  <si>
    <t>P01 06 001</t>
  </si>
  <si>
    <t>CORREDERA EN 8 PERFORACIONES</t>
  </si>
  <si>
    <t>ARMADORA</t>
  </si>
  <si>
    <t>REFORMA PALLETIZADORA</t>
  </si>
  <si>
    <t>BAÑADORA EMPANADAS</t>
  </si>
  <si>
    <t>SIN PLANO</t>
  </si>
  <si>
    <t>CORTE CHAPA</t>
  </si>
  <si>
    <t>CORTAR TAPA SOPLADOR INOX 200 x 110</t>
  </si>
  <si>
    <t>LIMPIEZA CHAPA</t>
  </si>
  <si>
    <t>LIMPIEZA DE CHAPAS CORTADAS QUITAR REBARBA</t>
  </si>
  <si>
    <t>CORTE CAÑO</t>
  </si>
  <si>
    <t>CORTE CAÑO TAPA SOPLADOR</t>
  </si>
  <si>
    <t>LIMPIEZA Y PERFORADO DE SOPORTE</t>
  </si>
  <si>
    <t>PERFORADO</t>
  </si>
  <si>
    <t>PERFORACION EN BAÑADORA</t>
  </si>
  <si>
    <t>PERFORACION EN BAÑADORA PARA SOPORTE</t>
  </si>
  <si>
    <t>MINUTOS TOTALES</t>
  </si>
  <si>
    <t>EN TOTAL PARA EL TRABAJO DE LA BAÑADORA QUE FUE CORTAR Y LIMPIAR CAÑO SOPORTE, CHAPA TAPA Y PERFORAR LA BAÑADORA TARDO DESDE LAS 11 10 A LAS 16 HS, CON UNA PRODUCCION REAL DE 200MIN EQUIVALENTES A 3 HORAS</t>
  </si>
  <si>
    <t>SIN DATO</t>
  </si>
  <si>
    <t>G800 PANAR</t>
  </si>
  <si>
    <t>BUJE DE EXTRACTOR</t>
  </si>
  <si>
    <t>TORNO</t>
  </si>
  <si>
    <t>SUPLEMENTO PARA CAJA RODAMIENTO</t>
  </si>
  <si>
    <t>CADA BUJE 51 MIN APROX</t>
  </si>
  <si>
    <t>1,5 HORAS PARA UN SUPLEMENTO CAJA RODAMIENTO</t>
  </si>
  <si>
    <t>N/A</t>
  </si>
  <si>
    <t>LIMPIEZA</t>
  </si>
  <si>
    <t>LIMPIEZA GENERAL EN PLANTA</t>
  </si>
  <si>
    <t>LIMPIEZA DE PIEZAS Y PERFORACIONES</t>
  </si>
  <si>
    <t>DESARME</t>
  </si>
  <si>
    <t>CAJA DE TENSORES, CADENA, EJE Y PIÑONES</t>
  </si>
  <si>
    <t>ENVAMEC- PALLETIZADOR</t>
  </si>
  <si>
    <t>ACOMODAR</t>
  </si>
  <si>
    <t>ACOMODAR PIEZAS EN SECTOR CORRESPONDIENTE</t>
  </si>
  <si>
    <t>PB25K</t>
  </si>
  <si>
    <t>P01 02 003</t>
  </si>
  <si>
    <t>S01 04</t>
  </si>
  <si>
    <t>MODIFICACION</t>
  </si>
  <si>
    <t>COLOCAR PLACA ESTRUCTURA MODIFICADA</t>
  </si>
  <si>
    <t>MODIFICACION DE PERFORACIONES POR CORREDERAS</t>
  </si>
  <si>
    <t>CAMBIO DE POSICION Y RE CONEXIÓN</t>
  </si>
  <si>
    <t>G700</t>
  </si>
  <si>
    <t xml:space="preserve">SOLDAR </t>
  </si>
  <si>
    <t>SOPORTE DE UNION CHASIS</t>
  </si>
  <si>
    <t xml:space="preserve">CORTAR </t>
  </si>
  <si>
    <t>SE CORTA MATERIAL PARA TENSORES</t>
  </si>
  <si>
    <t>ENTREPISO DEPOSITO</t>
  </si>
  <si>
    <t>MONTAJE</t>
  </si>
  <si>
    <t>ORDEN</t>
  </si>
  <si>
    <t>SOLDAR</t>
  </si>
  <si>
    <t>ARMADO DE SOPLADORES DE EMPANADAS</t>
  </si>
  <si>
    <t>BUSCAR MATERIAL SOPORTES EMPANADAS</t>
  </si>
  <si>
    <t>SOLDAR CAÑO DE ENTRADA DE AIRE</t>
  </si>
  <si>
    <t>G900</t>
  </si>
  <si>
    <t>soporte rodamiento 207</t>
  </si>
  <si>
    <t>caja de rodamiento</t>
  </si>
  <si>
    <t xml:space="preserve">colocar caja de rodamiento en soporte </t>
  </si>
  <si>
    <t>eje</t>
  </si>
  <si>
    <t>soporte</t>
  </si>
  <si>
    <t>no se entiende</t>
  </si>
  <si>
    <t>detalles de encastre eje/rodamiento</t>
  </si>
  <si>
    <t>perforaciones para gusanillos 8mm</t>
  </si>
  <si>
    <t>se realizaron cortes para que calce la mensula</t>
  </si>
  <si>
    <t>se realizaron dos cortes en soportes para que encastre el angulo de la mensula</t>
  </si>
  <si>
    <t>limpieza</t>
  </si>
  <si>
    <t>se armo y punteo la pieza. Se cambiaron gusanillos y tuercas autofrenantes</t>
  </si>
  <si>
    <t>se limpia y tira chatarra de planta</t>
  </si>
  <si>
    <t>se desarmo soporte de rodamientos y eje para modificar chaveta</t>
  </si>
  <si>
    <t>modificacion</t>
  </si>
  <si>
    <t>se rebaja chavate para el encamizado</t>
  </si>
  <si>
    <t>armado</t>
  </si>
  <si>
    <t>se armo conjunjto de soporte, rodamiento, eje, piñones</t>
  </si>
  <si>
    <t xml:space="preserve">soldado </t>
  </si>
  <si>
    <t>soldar soporte en mensula y calibrar piñones, desarmar caja electrica soporte cadena</t>
  </si>
  <si>
    <t>ahujeros de gusanillos y tensores</t>
  </si>
  <si>
    <t>tensor de carro guia - correa, acortar y posicionar</t>
  </si>
  <si>
    <t>montaje</t>
  </si>
  <si>
    <t>soldado y posicionado d esoportes y separadores</t>
  </si>
  <si>
    <t>LIMPIEZA PEGAMENTO TABLERO</t>
  </si>
  <si>
    <t>PUESTA A PUNTO</t>
  </si>
  <si>
    <t>INSTALACION DE  CABLE PARA PRUEBA, PUESTA A PUNTO Y LIMPIEZA</t>
  </si>
  <si>
    <t>CORTE LASER</t>
  </si>
  <si>
    <t>CORTE PIEZAS PANTOGRAFO</t>
  </si>
  <si>
    <t>CORTE PIEZAS PANTOGRAFO PUNTERA SENSOR</t>
  </si>
  <si>
    <t>CABEZAL</t>
  </si>
  <si>
    <t>CABLEADO PARA TABLERO PAP</t>
  </si>
  <si>
    <t>CORTE PIEZA SOPORTE SOPLADOR</t>
  </si>
  <si>
    <t>CABLEADO FINAL PAP TABLERO</t>
  </si>
  <si>
    <t>RE DISEÑO Y CORTE SOPORTE EJE 7</t>
  </si>
  <si>
    <t>TORNEADO PIEZA</t>
  </si>
  <si>
    <t>REPARACION</t>
  </si>
  <si>
    <t xml:space="preserve">NO APLICA </t>
  </si>
  <si>
    <t>NO APLICA</t>
  </si>
  <si>
    <t>REPARACION TORNO</t>
  </si>
  <si>
    <t>TORNEADO PIEZA BUJE</t>
  </si>
  <si>
    <t>LIMPIEZA TORNO</t>
  </si>
  <si>
    <t>G500</t>
  </si>
  <si>
    <t>S01-120</t>
  </si>
  <si>
    <t>TORNEADO SEPARADOR</t>
  </si>
  <si>
    <t>LIMPIEZA DE DEPOSITO</t>
  </si>
  <si>
    <t>15 MIN BAÑO</t>
  </si>
  <si>
    <t>CAMBIO DE PARAMETROS DE SERVO Y SENSORES</t>
  </si>
  <si>
    <t>ODEN Y LIMPIEZA EN FABRICA</t>
  </si>
  <si>
    <t>ENSAMBLE</t>
  </si>
  <si>
    <t>SE ARMO CONJUNTO SOPORTE RODAMIENTO, EJE, PI;ON</t>
  </si>
  <si>
    <t>VARIAS</t>
  </si>
  <si>
    <t>SOLDADO SOPORTE MENSULA, COLOCACION DE PI;ONES, DESARME DE CAJA ELECTRONICA Y CADENA PORTA CABLES</t>
  </si>
  <si>
    <t>CORTE Y PINTURA</t>
  </si>
  <si>
    <t>CONSTRUCCION SOPORTE CAJA ELECTRONICA, CORTE, PERFORADO, ROSCADO Y PINTADO</t>
  </si>
  <si>
    <t>COLOCAR CAJA ELECTRICA MODIFICADA, SOPORTE, Y SOLDAR</t>
  </si>
  <si>
    <t>DESCONEXION Y RECONEXION CABLES X,Z,Y</t>
  </si>
  <si>
    <t>AJUSTE</t>
  </si>
  <si>
    <t>REGULACION SOPORTES SENSORES EJE Y</t>
  </si>
  <si>
    <t>ARMADO DE TODO Y CONSTRUCCION DE SOPORTE TABLERO FECHADOR</t>
  </si>
  <si>
    <t>PERFORACION Y REACOMODAR SOPORTE</t>
  </si>
  <si>
    <t>MECANICO</t>
  </si>
  <si>
    <t>PERFORADO Y ROSCADO</t>
  </si>
  <si>
    <t>PERFORADO PRENSA CABLES</t>
  </si>
  <si>
    <t>15MIN BAÑO</t>
  </si>
  <si>
    <t>MODIFICACION DE POSICION MODO CILINDRO PINZA 1</t>
  </si>
  <si>
    <t>PUESTA EN MARCHA</t>
  </si>
  <si>
    <t>PUESTA EN MARCHA MANUAL, POSICION Y MODIFICACION EJE Y</t>
  </si>
  <si>
    <t>MODIFICACION SOPORTE CADENA CORTE, PINTURA Y SOLDADO. LEVAS EJE Y</t>
  </si>
  <si>
    <t>OPERARIO RESPONSABLE: POLI</t>
  </si>
  <si>
    <t>perforacion</t>
  </si>
  <si>
    <t>PATAS</t>
  </si>
  <si>
    <t>CORTADO Y LIMPIEZA DE PLACAS PARA SOPORTE DE PATAS EN CALESITA DOS ESPIGAS</t>
  </si>
  <si>
    <t>RETORNO</t>
  </si>
  <si>
    <t>SACAR CAÑOS QUE ESTAN LARGOS Y COLOCAR NUEVOS A MEDIDA</t>
  </si>
  <si>
    <t>MODIFICACION EJE A, POSICIONAMIENTO Y SENSADO</t>
  </si>
  <si>
    <t>PAUSA PERFORACION 1HS</t>
  </si>
  <si>
    <t>ESTRUCTURA DE PROTECCION, PERFORACION Y ROSCADO</t>
  </si>
  <si>
    <t>BAÑADORA</t>
  </si>
  <si>
    <t>REGULACION TEMPERATURA RESISTENCIA</t>
  </si>
  <si>
    <t>MODIFICACION DISCOS DE LEVAS</t>
  </si>
  <si>
    <t>PERFORADO Y FRESADO DE SOPORTE DE LEVAS</t>
  </si>
  <si>
    <t>SOLDADO DE CHAVETA Y PUESTA EN MARCHA</t>
  </si>
  <si>
    <t>INGRESO MATERIALES</t>
  </si>
  <si>
    <t>INGRESO Y CONTROL DE MATERIALES</t>
  </si>
  <si>
    <t>MOVIMIENTO DE DISPOSITIVOS</t>
  </si>
  <si>
    <t>REPARO DE PIEZAS</t>
  </si>
  <si>
    <t>DESARME PIEZAS CHUPADORES</t>
  </si>
  <si>
    <t>ORLI</t>
  </si>
  <si>
    <t>eje de traccion</t>
  </si>
  <si>
    <t>G1300</t>
  </si>
  <si>
    <t>P01-002</t>
  </si>
  <si>
    <t>DAR LA MEDIDA AL SEPARADOR</t>
  </si>
  <si>
    <t>FREZADO</t>
  </si>
  <si>
    <t>CHAVETEROS DE EJE DE TRACCION</t>
  </si>
  <si>
    <t>LIMPIAR PIEZAS</t>
  </si>
  <si>
    <t>QUITAR FILOS DE PIEZAS INOXIDABLE</t>
  </si>
  <si>
    <t>ROLAR</t>
  </si>
  <si>
    <t>ROLAR CONO</t>
  </si>
  <si>
    <t>SOLDAR CONO Y ROLAR</t>
  </si>
  <si>
    <t>INGRESO 9 30</t>
  </si>
  <si>
    <t>ROLAR FAJA DE CONO. SOLDAR</t>
  </si>
  <si>
    <t>PULIR</t>
  </si>
  <si>
    <t>PULIR CONO</t>
  </si>
  <si>
    <t>ENVAMEC?</t>
  </si>
  <si>
    <t>CABLEADO</t>
  </si>
  <si>
    <t>INSTALACION BANDEJAS Y SOPORTES DE CABLES</t>
  </si>
  <si>
    <t>DISEÑO Y CORTE EN PANTOGRAFO DE SOPORTE SENSORES</t>
  </si>
  <si>
    <t>INSTALACION</t>
  </si>
  <si>
    <t>SOPORTES BARRERA SOLDADO</t>
  </si>
  <si>
    <t>BANDEJAS CABLEADO BARRERA</t>
  </si>
  <si>
    <t>LIMPIEZA PANTOGRAFO</t>
  </si>
  <si>
    <t>DISEÑO Y CORTE EN PANTOGRAFO DE PLACAS P SOPORTE</t>
  </si>
  <si>
    <t>MECANICA</t>
  </si>
  <si>
    <t>ROSCADO, PULIDO SOPORTE</t>
  </si>
  <si>
    <t xml:space="preserve">ADAPTACION SOPORTE </t>
  </si>
  <si>
    <t>INSTALACION PIEZAS SOPORTE PANTALLA</t>
  </si>
  <si>
    <t>GUARDAR Y ACOMODAR PIEZAS PINTADAS</t>
  </si>
  <si>
    <t>ROLADO DE CONO</t>
  </si>
  <si>
    <t>LIMPIEZA DE PIEZAS, CORTAR HIERROS PARA RIENDA, PUNTERA, COLOCAR SOPORTE</t>
  </si>
  <si>
    <t>P03-002</t>
  </si>
  <si>
    <t>LIMPIEZA REBARBA DE LATTERALES TRAMO RECTO</t>
  </si>
  <si>
    <t>ACOMODAR MAQUINAS EN TARIMA</t>
  </si>
  <si>
    <t xml:space="preserve">ENSAMBLE </t>
  </si>
  <si>
    <t>LIMPIEZA Y PERFORADO</t>
  </si>
  <si>
    <t>ENSAMBLE DE P03-002 TRAMO RECTO, P03-01-002 TRAVEZAÑO Y P03-01-003 PORTA TRAVEZAÑO</t>
  </si>
  <si>
    <t>P03-01-003</t>
  </si>
  <si>
    <t>CORRECCION</t>
  </si>
  <si>
    <t>CORRECCION DE PORTATRAVEZAÑOS</t>
  </si>
  <si>
    <t>P01-001</t>
  </si>
  <si>
    <t>PUNTERAS PORTA RODAMIENTOS</t>
  </si>
  <si>
    <t>ENVAMEC</t>
  </si>
  <si>
    <t>ROLADO</t>
  </si>
  <si>
    <t>P04-001</t>
  </si>
  <si>
    <t>PLEGADO</t>
  </si>
  <si>
    <t>PLEGADO DE CHAPAS BASE PATAS</t>
  </si>
  <si>
    <t>SOLDADO</t>
  </si>
  <si>
    <t>SOLDADURA EN BASE PATA</t>
  </si>
  <si>
    <t>AMOLADO</t>
  </si>
  <si>
    <t>AMOLADO Y PULIDO DE BASE</t>
  </si>
  <si>
    <t>COLOCADO DE PATAS</t>
  </si>
  <si>
    <t>S04</t>
  </si>
  <si>
    <t>UNION DE CHASIS CURVA Y RECTA</t>
  </si>
  <si>
    <t>LIMPIEZA Y ARMADO DE LA MAQUINA</t>
  </si>
  <si>
    <t>P008</t>
  </si>
  <si>
    <t>P03-01-001</t>
  </si>
  <si>
    <t>P03-01-002</t>
  </si>
  <si>
    <t>LIMPIEZA Y CONTROL CHAPA JUNTA</t>
  </si>
  <si>
    <t>LIMPIEZA DE PIEZAS PORTA TRAVEZAÑOS</t>
  </si>
  <si>
    <t>LIMPIEZA DDE PIEZAS TRAVEZAÑOS</t>
  </si>
  <si>
    <t>UNION DE AMBAS CHAPAS Y SOLDAR</t>
  </si>
  <si>
    <t>P03-01-001                 P03-01-002</t>
  </si>
  <si>
    <t>P04-003</t>
  </si>
  <si>
    <t>LIMPIEZA DE PIEZAS CHAPA UNION</t>
  </si>
  <si>
    <t>LIMPIEZA DE PIEZAS CON ACIDO</t>
  </si>
  <si>
    <t>ENZAMBLE</t>
  </si>
  <si>
    <t>UNION DE CHAPAS JUNTA CON CHAPAS RECTAS</t>
  </si>
  <si>
    <t>P03-01-007</t>
  </si>
  <si>
    <t>CORTE Y TORNEO</t>
  </si>
  <si>
    <t xml:space="preserve">CORTE Y TORNEADO EJE </t>
  </si>
  <si>
    <t>P02-003</t>
  </si>
  <si>
    <t>ROSCAR</t>
  </si>
  <si>
    <t>EJE DE TRACCION Y RETORNO</t>
  </si>
  <si>
    <t>PRENSA CHAPA</t>
  </si>
  <si>
    <t>ENDEREZAR CHAPA</t>
  </si>
  <si>
    <t>45 ALMUERZO 50 FUERA DE FABRICA 15 LIMPIEZA</t>
  </si>
  <si>
    <t>FRENTEAR EJE DE CHUPADOR</t>
  </si>
  <si>
    <t>7 MIN DEMORA AL INICIAR EL TURNO</t>
  </si>
  <si>
    <t>LIMPIEZA Y EMBALAJE</t>
  </si>
  <si>
    <t>P23-04-007</t>
  </si>
  <si>
    <t>TACO DELRING DIAMETRO 20</t>
  </si>
  <si>
    <t>ARMAR Y DESARMAR BANDA</t>
  </si>
  <si>
    <t>REPARACION DE FRESA</t>
  </si>
  <si>
    <t>ADAPTACION</t>
  </si>
  <si>
    <t>SE ADAPTAN PLANCHUELAS DE ENTRADA</t>
  </si>
  <si>
    <t>S01-130</t>
  </si>
  <si>
    <t>SE COLOCAN PLANCHUELAS DE GUIA SALIDA</t>
  </si>
  <si>
    <t>SE ARMO LA CURVA</t>
  </si>
  <si>
    <t>30MIN GUARDAR REJAS PROTECTORAS</t>
  </si>
  <si>
    <t>sin dato</t>
  </si>
  <si>
    <t>PULIDO</t>
  </si>
  <si>
    <t>SE PULIO CHAPA PORTA TRAVEZAÑO Y REPASO DE PERFORACION. PLEGADO DE LAS MISMAS.</t>
  </si>
  <si>
    <t>SE AJUSTARON TODOS LOS TORNILLOS</t>
  </si>
  <si>
    <t>SIN DATO DE CUANTOS PLASTICOS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</si>
</sst>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3" x14ac:knownFonts="1">
    <font>
      <sz val="10"/>
      <color rgb="FF000000"/>
      <name val="Times New Roman"/>
      <charset val="204"/>
    </font>
    <font>
      <b/>
      <sz val="8"/>
      <name val="Calibri"/>
    </font>
    <font>
      <b/>
      <sz val="8.5"/>
      <name val="Calibri"/>
    </font>
    <font>
      <b/>
      <sz val="8"/>
      <name val="Calibri"/>
      <family val="1"/>
    </font>
    <font>
      <b/>
      <sz val="8.5"/>
      <name val="Calibri"/>
      <family val="1"/>
    </font>
    <font>
      <sz val="10"/>
      <color rgb="FFFF0000"/>
      <name val="Calibri"/>
      <family val="2"/>
      <scheme val="minor"/>
    </font>
    <font>
      <sz val="8"/>
      <name val="Times New Roman"/>
      <family val="1"/>
    </font>
    <font>
      <b/>
      <sz val="10"/>
      <name val="Calibri"/>
      <family val="2"/>
    </font>
    <font>
      <b/>
      <sz val="14"/>
      <name val="Calibri"/>
      <family val="1"/>
    </font>
    <font>
      <sz val="10"/>
      <name val="Calibri"/>
      <family val="2"/>
      <scheme val="minor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8"/>
      <name val="Times New Roman"/>
      <charset val="204"/>
    </font>
  </fonts>
  <fills count="6">
    <fill>
      <patternFill patternType="none"/>
    </fill>
    <fill>
      <patternFill patternType="gray125"/>
    </fill>
    <fill>
      <patternFill patternType="solid">
        <fgColor rgb="FFF1F1F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 applyAlignment="1">
      <alignment horizontal="left" vertical="top"/>
    </xf>
    <xf numFmtId="14" fontId="5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3" borderId="10" xfId="0" applyFont="1" applyFill="1" applyBorder="1" applyAlignment="1">
      <alignment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4" borderId="10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164" fontId="5" fillId="0" borderId="10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left" vertical="top"/>
    </xf>
    <xf numFmtId="2" fontId="0" fillId="3" borderId="10" xfId="0" applyNumberFormat="1" applyFill="1" applyBorder="1" applyAlignment="1">
      <alignment horizontal="center" vertical="center"/>
    </xf>
    <xf numFmtId="2" fontId="10" fillId="3" borderId="10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top"/>
    </xf>
    <xf numFmtId="0" fontId="5" fillId="5" borderId="10" xfId="0" applyFont="1" applyFill="1" applyBorder="1" applyAlignment="1">
      <alignment horizontal="center" vertical="center" wrapText="1"/>
    </xf>
    <xf numFmtId="14" fontId="5" fillId="0" borderId="19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164" fontId="5" fillId="0" borderId="15" xfId="0" applyNumberFormat="1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2" fontId="10" fillId="3" borderId="15" xfId="0" applyNumberFormat="1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vertical="center" wrapText="1"/>
    </xf>
    <xf numFmtId="0" fontId="5" fillId="0" borderId="21" xfId="0" applyFont="1" applyBorder="1" applyAlignment="1">
      <alignment horizontal="center" vertical="center" wrapText="1"/>
    </xf>
    <xf numFmtId="164" fontId="5" fillId="0" borderId="19" xfId="0" applyNumberFormat="1" applyFont="1" applyBorder="1" applyAlignment="1">
      <alignment horizontal="center" vertical="center" wrapText="1"/>
    </xf>
    <xf numFmtId="2" fontId="10" fillId="3" borderId="19" xfId="0" applyNumberFormat="1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164" fontId="5" fillId="0" borderId="25" xfId="0" applyNumberFormat="1" applyFont="1" applyBorder="1" applyAlignment="1">
      <alignment horizontal="center" vertical="center" wrapText="1"/>
    </xf>
    <xf numFmtId="2" fontId="10" fillId="3" borderId="25" xfId="0" applyNumberFormat="1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vertical="center" wrapText="1"/>
    </xf>
    <xf numFmtId="0" fontId="5" fillId="4" borderId="28" xfId="0" applyFont="1" applyFill="1" applyBorder="1" applyAlignment="1">
      <alignment vertical="center" wrapText="1"/>
    </xf>
    <xf numFmtId="0" fontId="5" fillId="4" borderId="30" xfId="0" applyFont="1" applyFill="1" applyBorder="1" applyAlignment="1">
      <alignment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164" fontId="5" fillId="0" borderId="33" xfId="0" applyNumberFormat="1" applyFont="1" applyBorder="1" applyAlignment="1">
      <alignment horizontal="center" vertical="center" wrapText="1"/>
    </xf>
    <xf numFmtId="2" fontId="10" fillId="3" borderId="33" xfId="0" applyNumberFormat="1" applyFont="1" applyFill="1" applyBorder="1" applyAlignment="1">
      <alignment horizontal="center" vertical="center"/>
    </xf>
    <xf numFmtId="0" fontId="9" fillId="3" borderId="33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vertical="center" wrapText="1"/>
    </xf>
    <xf numFmtId="0" fontId="5" fillId="4" borderId="36" xfId="0" applyFont="1" applyFill="1" applyBorder="1" applyAlignment="1">
      <alignment vertical="center" wrapText="1"/>
    </xf>
    <xf numFmtId="14" fontId="5" fillId="0" borderId="15" xfId="0" applyNumberFormat="1" applyFont="1" applyBorder="1" applyAlignment="1">
      <alignment horizontal="center" vertical="center" wrapText="1"/>
    </xf>
    <xf numFmtId="14" fontId="5" fillId="0" borderId="23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164" fontId="5" fillId="0" borderId="24" xfId="0" applyNumberFormat="1" applyFont="1" applyBorder="1" applyAlignment="1">
      <alignment horizontal="center" vertical="center" wrapText="1"/>
    </xf>
    <xf numFmtId="2" fontId="10" fillId="3" borderId="24" xfId="0" applyNumberFormat="1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vertical="center" wrapText="1"/>
    </xf>
    <xf numFmtId="0" fontId="5" fillId="4" borderId="42" xfId="0" applyFont="1" applyFill="1" applyBorder="1" applyAlignment="1">
      <alignment vertical="center" wrapText="1"/>
    </xf>
    <xf numFmtId="14" fontId="5" fillId="0" borderId="43" xfId="0" applyNumberFormat="1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164" fontId="5" fillId="0" borderId="44" xfId="0" applyNumberFormat="1" applyFont="1" applyBorder="1" applyAlignment="1">
      <alignment horizontal="center" vertical="center" wrapText="1"/>
    </xf>
    <xf numFmtId="2" fontId="10" fillId="3" borderId="44" xfId="0" applyNumberFormat="1" applyFont="1" applyFill="1" applyBorder="1" applyAlignment="1">
      <alignment horizontal="center" vertical="center"/>
    </xf>
    <xf numFmtId="0" fontId="9" fillId="3" borderId="44" xfId="0" applyFont="1" applyFill="1" applyBorder="1" applyAlignment="1">
      <alignment horizontal="center" vertical="center" wrapText="1"/>
    </xf>
    <xf numFmtId="0" fontId="5" fillId="4" borderId="44" xfId="0" applyFont="1" applyFill="1" applyBorder="1" applyAlignment="1">
      <alignment vertical="center" wrapText="1"/>
    </xf>
    <xf numFmtId="0" fontId="5" fillId="4" borderId="47" xfId="0" applyFont="1" applyFill="1" applyBorder="1" applyAlignment="1">
      <alignment vertical="center" wrapText="1"/>
    </xf>
    <xf numFmtId="2" fontId="0" fillId="3" borderId="15" xfId="0" applyNumberFormat="1" applyFill="1" applyBorder="1" applyAlignment="1">
      <alignment horizontal="center" vertical="center"/>
    </xf>
    <xf numFmtId="2" fontId="0" fillId="3" borderId="19" xfId="0" applyNumberFormat="1" applyFill="1" applyBorder="1" applyAlignment="1">
      <alignment horizontal="center" vertical="center"/>
    </xf>
    <xf numFmtId="2" fontId="0" fillId="3" borderId="25" xfId="0" applyNumberFormat="1" applyFill="1" applyBorder="1" applyAlignment="1">
      <alignment horizontal="center" vertical="center"/>
    </xf>
    <xf numFmtId="2" fontId="0" fillId="3" borderId="33" xfId="0" applyNumberFormat="1" applyFill="1" applyBorder="1" applyAlignment="1">
      <alignment horizontal="center" vertical="center"/>
    </xf>
    <xf numFmtId="0" fontId="5" fillId="4" borderId="48" xfId="0" applyFont="1" applyFill="1" applyBorder="1" applyAlignment="1">
      <alignment vertical="center" wrapText="1"/>
    </xf>
    <xf numFmtId="14" fontId="5" fillId="0" borderId="23" xfId="0" applyNumberFormat="1" applyFont="1" applyBorder="1" applyAlignment="1">
      <alignment horizontal="center" vertical="center" wrapText="1"/>
    </xf>
    <xf numFmtId="14" fontId="5" fillId="0" borderId="29" xfId="0" applyNumberFormat="1" applyFont="1" applyBorder="1" applyAlignment="1">
      <alignment horizontal="center" vertical="center" wrapText="1"/>
    </xf>
    <xf numFmtId="14" fontId="5" fillId="0" borderId="31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14" fontId="5" fillId="0" borderId="15" xfId="0" applyNumberFormat="1" applyFont="1" applyBorder="1" applyAlignment="1">
      <alignment horizontal="center" vertical="center" wrapText="1"/>
    </xf>
    <xf numFmtId="14" fontId="5" fillId="0" borderId="18" xfId="0" applyNumberFormat="1" applyFont="1" applyBorder="1" applyAlignment="1">
      <alignment horizontal="center" vertical="center" wrapText="1"/>
    </xf>
    <xf numFmtId="14" fontId="5" fillId="0" borderId="19" xfId="0" applyNumberFormat="1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14" fontId="5" fillId="0" borderId="49" xfId="0" applyNumberFormat="1" applyFont="1" applyBorder="1" applyAlignment="1">
      <alignment horizontal="center" vertical="center" wrapText="1"/>
    </xf>
    <xf numFmtId="14" fontId="5" fillId="0" borderId="50" xfId="0" applyNumberFormat="1" applyFont="1" applyBorder="1" applyAlignment="1">
      <alignment horizontal="center" vertical="center" wrapText="1"/>
    </xf>
    <xf numFmtId="14" fontId="5" fillId="0" borderId="5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583113</xdr:colOff>
      <xdr:row>0</xdr:row>
      <xdr:rowOff>19050</xdr:rowOff>
    </xdr:from>
    <xdr:ext cx="820238" cy="445271"/>
    <xdr:pic>
      <xdr:nvPicPr>
        <xdr:cNvPr id="2" name="image1.jpeg">
          <a:extLst>
            <a:ext uri="{FF2B5EF4-FFF2-40B4-BE49-F238E27FC236}">
              <a16:creationId xmlns:a16="http://schemas.microsoft.com/office/drawing/2014/main" id="{F8E1F5CD-B6C0-4748-879D-0961D05B6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163" y="19050"/>
          <a:ext cx="820238" cy="44527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583113</xdr:colOff>
      <xdr:row>0</xdr:row>
      <xdr:rowOff>19050</xdr:rowOff>
    </xdr:from>
    <xdr:ext cx="820238" cy="445271"/>
    <xdr:pic>
      <xdr:nvPicPr>
        <xdr:cNvPr id="2" name="image1.jpeg">
          <a:extLst>
            <a:ext uri="{FF2B5EF4-FFF2-40B4-BE49-F238E27FC236}">
              <a16:creationId xmlns:a16="http://schemas.microsoft.com/office/drawing/2014/main" id="{7513106E-5772-4DE8-B881-A78CCB40A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893" y="19050"/>
          <a:ext cx="820238" cy="44527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583113</xdr:colOff>
      <xdr:row>0</xdr:row>
      <xdr:rowOff>19050</xdr:rowOff>
    </xdr:from>
    <xdr:ext cx="820238" cy="445271"/>
    <xdr:pic>
      <xdr:nvPicPr>
        <xdr:cNvPr id="2" name="image1.jpeg">
          <a:extLst>
            <a:ext uri="{FF2B5EF4-FFF2-40B4-BE49-F238E27FC236}">
              <a16:creationId xmlns:a16="http://schemas.microsoft.com/office/drawing/2014/main" id="{3A2F5E2F-9120-4F96-8048-2AAED860C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893" y="19050"/>
          <a:ext cx="820238" cy="44527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583113</xdr:colOff>
      <xdr:row>0</xdr:row>
      <xdr:rowOff>19050</xdr:rowOff>
    </xdr:from>
    <xdr:ext cx="820238" cy="445271"/>
    <xdr:pic>
      <xdr:nvPicPr>
        <xdr:cNvPr id="2" name="image1.jpeg">
          <a:extLst>
            <a:ext uri="{FF2B5EF4-FFF2-40B4-BE49-F238E27FC236}">
              <a16:creationId xmlns:a16="http://schemas.microsoft.com/office/drawing/2014/main" id="{A75396F7-868F-4051-8A20-369096D9F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893" y="19050"/>
          <a:ext cx="820238" cy="44527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583113</xdr:colOff>
      <xdr:row>0</xdr:row>
      <xdr:rowOff>19050</xdr:rowOff>
    </xdr:from>
    <xdr:ext cx="820238" cy="445271"/>
    <xdr:pic>
      <xdr:nvPicPr>
        <xdr:cNvPr id="2" name="image1.jpeg">
          <a:extLst>
            <a:ext uri="{FF2B5EF4-FFF2-40B4-BE49-F238E27FC236}">
              <a16:creationId xmlns:a16="http://schemas.microsoft.com/office/drawing/2014/main" id="{3E7AAB43-0599-4270-85FD-88E66923F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893" y="19050"/>
          <a:ext cx="820238" cy="445271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583113</xdr:colOff>
      <xdr:row>0</xdr:row>
      <xdr:rowOff>19050</xdr:rowOff>
    </xdr:from>
    <xdr:ext cx="820238" cy="445271"/>
    <xdr:pic>
      <xdr:nvPicPr>
        <xdr:cNvPr id="2" name="image1.jpeg">
          <a:extLst>
            <a:ext uri="{FF2B5EF4-FFF2-40B4-BE49-F238E27FC236}">
              <a16:creationId xmlns:a16="http://schemas.microsoft.com/office/drawing/2014/main" id="{7DBC958B-A74A-4F5E-9FB2-875EFBF44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893" y="19050"/>
          <a:ext cx="820238" cy="445271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583113</xdr:colOff>
      <xdr:row>0</xdr:row>
      <xdr:rowOff>19050</xdr:rowOff>
    </xdr:from>
    <xdr:ext cx="820238" cy="445271"/>
    <xdr:pic>
      <xdr:nvPicPr>
        <xdr:cNvPr id="2" name="image1.jpeg">
          <a:extLst>
            <a:ext uri="{FF2B5EF4-FFF2-40B4-BE49-F238E27FC236}">
              <a16:creationId xmlns:a16="http://schemas.microsoft.com/office/drawing/2014/main" id="{F7A13D59-33C7-4726-8198-667D4300D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893" y="19050"/>
          <a:ext cx="820238" cy="445271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583113</xdr:colOff>
      <xdr:row>0</xdr:row>
      <xdr:rowOff>19050</xdr:rowOff>
    </xdr:from>
    <xdr:ext cx="820238" cy="445271"/>
    <xdr:pic>
      <xdr:nvPicPr>
        <xdr:cNvPr id="2" name="image1.jpeg">
          <a:extLst>
            <a:ext uri="{FF2B5EF4-FFF2-40B4-BE49-F238E27FC236}">
              <a16:creationId xmlns:a16="http://schemas.microsoft.com/office/drawing/2014/main" id="{4550169E-26BB-46E2-AB85-4707E0D9E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893" y="19050"/>
          <a:ext cx="820238" cy="445271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583113</xdr:colOff>
      <xdr:row>0</xdr:row>
      <xdr:rowOff>19050</xdr:rowOff>
    </xdr:from>
    <xdr:ext cx="820238" cy="445271"/>
    <xdr:pic>
      <xdr:nvPicPr>
        <xdr:cNvPr id="2" name="image1.jpeg">
          <a:extLst>
            <a:ext uri="{FF2B5EF4-FFF2-40B4-BE49-F238E27FC236}">
              <a16:creationId xmlns:a16="http://schemas.microsoft.com/office/drawing/2014/main" id="{DF1B16B9-572E-4DDE-8ECC-D642B43B2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893" y="19050"/>
          <a:ext cx="820238" cy="44527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6A51-B84D-4ED9-9BA1-44B7B770F21F}">
  <sheetPr>
    <pageSetUpPr fitToPage="1"/>
  </sheetPr>
  <dimension ref="B1:R80"/>
  <sheetViews>
    <sheetView topLeftCell="A18" zoomScaleNormal="100" workbookViewId="0">
      <selection activeCell="D20" sqref="D20"/>
    </sheetView>
  </sheetViews>
  <sheetFormatPr baseColWidth="10" defaultColWidth="8.88671875" defaultRowHeight="13.2" x14ac:dyDescent="0.25"/>
  <cols>
    <col min="1" max="1" width="2.109375" customWidth="1"/>
    <col min="2" max="2" width="11.77734375" customWidth="1"/>
    <col min="3" max="3" width="17.5546875" customWidth="1"/>
    <col min="4" max="4" width="17.6640625" customWidth="1"/>
    <col min="5" max="5" width="15.21875" customWidth="1"/>
    <col min="6" max="6" width="14.6640625" customWidth="1"/>
    <col min="7" max="7" width="16" customWidth="1"/>
    <col min="8" max="8" width="28.44140625" customWidth="1"/>
    <col min="9" max="10" width="17.109375" customWidth="1"/>
    <col min="11" max="11" width="17.33203125" customWidth="1"/>
    <col min="12" max="12" width="16.33203125" customWidth="1"/>
    <col min="13" max="13" width="13.77734375" customWidth="1"/>
    <col min="14" max="14" width="14.77734375" customWidth="1"/>
    <col min="15" max="15" width="22.44140625" customWidth="1"/>
    <col min="16" max="16" width="17.33203125" customWidth="1"/>
  </cols>
  <sheetData>
    <row r="1" spans="2:18" ht="18" customHeight="1" x14ac:dyDescent="0.25">
      <c r="B1" s="80"/>
      <c r="C1" s="80"/>
      <c r="D1" s="82" t="s">
        <v>18</v>
      </c>
      <c r="E1" s="82"/>
      <c r="F1" s="82"/>
      <c r="G1" s="82"/>
      <c r="H1" s="82"/>
      <c r="I1" s="82"/>
      <c r="J1" s="82"/>
      <c r="K1" s="82"/>
      <c r="L1" s="82"/>
      <c r="M1" s="82"/>
      <c r="N1" s="82"/>
      <c r="O1" s="75" t="s">
        <v>21</v>
      </c>
      <c r="P1" s="76"/>
    </row>
    <row r="2" spans="2:18" ht="19.2" customHeight="1" x14ac:dyDescent="0.25">
      <c r="B2" s="81"/>
      <c r="C2" s="81"/>
      <c r="D2" s="83"/>
      <c r="E2" s="83"/>
      <c r="F2" s="83"/>
      <c r="G2" s="83"/>
      <c r="H2" s="83"/>
      <c r="I2" s="84"/>
      <c r="J2" s="84"/>
      <c r="K2" s="84"/>
      <c r="L2" s="84"/>
      <c r="M2" s="84"/>
      <c r="N2" s="84"/>
      <c r="O2" s="76" t="s">
        <v>0</v>
      </c>
      <c r="P2" s="76"/>
    </row>
    <row r="3" spans="2:18" ht="12.6" customHeight="1" x14ac:dyDescent="0.25">
      <c r="B3" s="79" t="s">
        <v>9</v>
      </c>
      <c r="C3" s="79"/>
      <c r="D3" s="79"/>
      <c r="E3" s="79"/>
      <c r="F3" s="79"/>
      <c r="G3" s="79"/>
      <c r="H3" s="79"/>
      <c r="I3" s="77" t="s">
        <v>10</v>
      </c>
      <c r="J3" s="78"/>
      <c r="K3" s="78"/>
      <c r="L3" s="78"/>
      <c r="M3" s="78"/>
      <c r="N3" s="78"/>
      <c r="O3" s="75" t="s">
        <v>19</v>
      </c>
      <c r="P3" s="76"/>
    </row>
    <row r="4" spans="2:18" ht="10.199999999999999" customHeight="1" x14ac:dyDescent="0.25">
      <c r="B4" s="86" t="s">
        <v>17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75" t="s">
        <v>20</v>
      </c>
      <c r="P4" s="76"/>
    </row>
    <row r="5" spans="2:18" ht="15.45" customHeight="1" x14ac:dyDescent="0.25">
      <c r="B5" s="91" t="s">
        <v>1</v>
      </c>
      <c r="C5" s="91" t="s">
        <v>3</v>
      </c>
      <c r="D5" s="91" t="s">
        <v>4</v>
      </c>
      <c r="E5" s="91" t="s">
        <v>2</v>
      </c>
      <c r="F5" s="100" t="s">
        <v>15</v>
      </c>
      <c r="G5" s="101"/>
      <c r="H5" s="91" t="s">
        <v>22</v>
      </c>
      <c r="I5" s="93" t="s">
        <v>16</v>
      </c>
      <c r="J5" s="94"/>
      <c r="K5" s="95"/>
      <c r="L5" s="96" t="s">
        <v>6</v>
      </c>
      <c r="M5" s="97"/>
      <c r="N5" s="98"/>
      <c r="O5" s="99" t="s">
        <v>5</v>
      </c>
      <c r="P5" s="99" t="s">
        <v>14</v>
      </c>
    </row>
    <row r="6" spans="2:18" ht="25.8" customHeight="1" x14ac:dyDescent="0.25">
      <c r="B6" s="92"/>
      <c r="C6" s="92"/>
      <c r="D6" s="92"/>
      <c r="E6" s="92"/>
      <c r="F6" s="102"/>
      <c r="G6" s="103"/>
      <c r="H6" s="92"/>
      <c r="I6" s="6" t="s">
        <v>7</v>
      </c>
      <c r="J6" s="6" t="s">
        <v>8</v>
      </c>
      <c r="K6" s="6" t="s">
        <v>11</v>
      </c>
      <c r="L6" s="7" t="s">
        <v>13</v>
      </c>
      <c r="M6" s="7" t="s">
        <v>23</v>
      </c>
      <c r="N6" s="7" t="s">
        <v>12</v>
      </c>
      <c r="O6" s="99"/>
      <c r="P6" s="99"/>
    </row>
    <row r="7" spans="2:18" ht="30" customHeight="1" x14ac:dyDescent="0.25">
      <c r="B7" s="88">
        <v>46098</v>
      </c>
      <c r="C7" s="2" t="s">
        <v>24</v>
      </c>
      <c r="D7" s="2" t="s">
        <v>25</v>
      </c>
      <c r="E7" s="2" t="s">
        <v>26</v>
      </c>
      <c r="F7" s="85" t="s">
        <v>27</v>
      </c>
      <c r="G7" s="85"/>
      <c r="H7" s="2">
        <v>1</v>
      </c>
      <c r="I7" s="8">
        <v>0.2986111111111111</v>
      </c>
      <c r="J7" s="8">
        <v>0.40486111111111112</v>
      </c>
      <c r="K7" s="4">
        <v>10</v>
      </c>
      <c r="L7" s="11">
        <f>((J7-I7+(J7&lt;I7))*1440)-K7</f>
        <v>143.00000000000003</v>
      </c>
      <c r="M7" s="12">
        <v>1</v>
      </c>
      <c r="N7" s="12">
        <f>L7/M7</f>
        <v>143.00000000000003</v>
      </c>
      <c r="O7" s="5"/>
      <c r="P7" s="5"/>
    </row>
    <row r="8" spans="2:18" ht="30" customHeight="1" x14ac:dyDescent="0.25">
      <c r="B8" s="89"/>
      <c r="C8" s="2" t="s">
        <v>24</v>
      </c>
      <c r="D8" s="2" t="s">
        <v>28</v>
      </c>
      <c r="E8" s="2" t="s">
        <v>26</v>
      </c>
      <c r="F8" s="85" t="s">
        <v>29</v>
      </c>
      <c r="G8" s="85"/>
      <c r="H8" s="2">
        <v>1</v>
      </c>
      <c r="I8" s="8">
        <v>0.40972222222222227</v>
      </c>
      <c r="J8" s="8">
        <v>0.4201388888888889</v>
      </c>
      <c r="K8" s="4">
        <v>2</v>
      </c>
      <c r="L8" s="11">
        <f>((J8-I8+(J8&lt;I8))*1440)-K8</f>
        <v>12.999999999999947</v>
      </c>
      <c r="M8" s="12">
        <v>1</v>
      </c>
      <c r="N8" s="12">
        <f t="shared" ref="N8:N9" si="0">L8/M8</f>
        <v>12.999999999999947</v>
      </c>
      <c r="O8" s="5"/>
      <c r="P8" s="5"/>
    </row>
    <row r="9" spans="2:18" ht="30" customHeight="1" x14ac:dyDescent="0.25">
      <c r="B9" s="89"/>
      <c r="C9" s="2" t="s">
        <v>24</v>
      </c>
      <c r="D9" s="14" t="s">
        <v>46</v>
      </c>
      <c r="E9" s="2" t="s">
        <v>30</v>
      </c>
      <c r="F9" s="85" t="s">
        <v>31</v>
      </c>
      <c r="G9" s="85"/>
      <c r="H9" s="2">
        <v>1</v>
      </c>
      <c r="I9" s="8">
        <v>0.42152777777777778</v>
      </c>
      <c r="J9" s="8">
        <v>0.46388888888888885</v>
      </c>
      <c r="K9" s="4">
        <v>11</v>
      </c>
      <c r="L9" s="11">
        <f t="shared" ref="L9:L15" si="1">((J9-I9+(J9&lt;I9))*1440)-K9</f>
        <v>49.999999999999943</v>
      </c>
      <c r="M9" s="12">
        <v>1</v>
      </c>
      <c r="N9" s="12">
        <f t="shared" si="0"/>
        <v>49.999999999999943</v>
      </c>
      <c r="O9" s="5"/>
      <c r="P9" s="5"/>
    </row>
    <row r="10" spans="2:18" ht="30" customHeight="1" x14ac:dyDescent="0.25">
      <c r="B10" s="89"/>
      <c r="C10" s="2" t="s">
        <v>32</v>
      </c>
      <c r="D10" s="2" t="s">
        <v>33</v>
      </c>
      <c r="E10" s="2" t="s">
        <v>34</v>
      </c>
      <c r="F10" s="85" t="s">
        <v>35</v>
      </c>
      <c r="G10" s="85"/>
      <c r="H10" s="2">
        <v>2</v>
      </c>
      <c r="I10" s="8">
        <v>0.46527777777777773</v>
      </c>
      <c r="J10" s="8">
        <v>0.47569444444444442</v>
      </c>
      <c r="K10" s="4">
        <v>2</v>
      </c>
      <c r="L10" s="10">
        <f t="shared" si="1"/>
        <v>13.000000000000027</v>
      </c>
      <c r="M10" s="12">
        <v>2</v>
      </c>
      <c r="N10" s="12">
        <f>L10/M10</f>
        <v>6.5000000000000133</v>
      </c>
      <c r="O10" s="108" t="s">
        <v>45</v>
      </c>
      <c r="P10" s="108"/>
    </row>
    <row r="11" spans="2:18" ht="30" customHeight="1" x14ac:dyDescent="0.25">
      <c r="B11" s="89"/>
      <c r="C11" s="2" t="s">
        <v>32</v>
      </c>
      <c r="D11" s="2" t="s">
        <v>33</v>
      </c>
      <c r="E11" s="2" t="s">
        <v>34</v>
      </c>
      <c r="F11" s="85" t="s">
        <v>35</v>
      </c>
      <c r="G11" s="85"/>
      <c r="H11" s="2">
        <v>2</v>
      </c>
      <c r="I11" s="8">
        <v>0.47569444444444442</v>
      </c>
      <c r="J11" s="8">
        <v>0.50624999999999998</v>
      </c>
      <c r="K11" s="4">
        <v>5</v>
      </c>
      <c r="L11" s="10">
        <f t="shared" si="1"/>
        <v>39</v>
      </c>
      <c r="M11" s="12">
        <v>2</v>
      </c>
      <c r="N11" s="12">
        <f t="shared" ref="N11:N16" si="2">L11/M11</f>
        <v>19.5</v>
      </c>
      <c r="O11" s="109"/>
      <c r="P11" s="109"/>
      <c r="Q11" s="9">
        <f>SUM(L10:L16)</f>
        <v>200.00000000000003</v>
      </c>
      <c r="R11" s="13" t="s">
        <v>44</v>
      </c>
    </row>
    <row r="12" spans="2:18" ht="30" customHeight="1" x14ac:dyDescent="0.25">
      <c r="B12" s="89"/>
      <c r="C12" s="2" t="s">
        <v>32</v>
      </c>
      <c r="D12" s="2" t="s">
        <v>33</v>
      </c>
      <c r="E12" s="2" t="s">
        <v>36</v>
      </c>
      <c r="F12" s="85" t="s">
        <v>37</v>
      </c>
      <c r="G12" s="85"/>
      <c r="H12" s="2">
        <v>2</v>
      </c>
      <c r="I12" s="8">
        <v>0.5083333333333333</v>
      </c>
      <c r="J12" s="8">
        <v>0.56944444444444442</v>
      </c>
      <c r="K12" s="4">
        <v>43</v>
      </c>
      <c r="L12" s="10">
        <f t="shared" si="1"/>
        <v>45</v>
      </c>
      <c r="M12" s="12">
        <v>2</v>
      </c>
      <c r="N12" s="12">
        <f t="shared" si="2"/>
        <v>22.5</v>
      </c>
      <c r="O12" s="109"/>
      <c r="P12" s="109"/>
      <c r="Q12">
        <f>200/60</f>
        <v>3.3333333333333335</v>
      </c>
      <c r="R12" s="13"/>
    </row>
    <row r="13" spans="2:18" ht="30" customHeight="1" x14ac:dyDescent="0.25">
      <c r="B13" s="89"/>
      <c r="C13" s="2" t="s">
        <v>32</v>
      </c>
      <c r="D13" s="2" t="s">
        <v>33</v>
      </c>
      <c r="E13" s="2" t="s">
        <v>38</v>
      </c>
      <c r="F13" s="69" t="s">
        <v>39</v>
      </c>
      <c r="G13" s="70"/>
      <c r="H13" s="2">
        <v>2</v>
      </c>
      <c r="I13" s="8">
        <v>0.57291666666666663</v>
      </c>
      <c r="J13" s="8">
        <v>0.57986111111111105</v>
      </c>
      <c r="K13" s="4">
        <v>5</v>
      </c>
      <c r="L13" s="10">
        <f t="shared" si="1"/>
        <v>4.9999999999999645</v>
      </c>
      <c r="M13" s="12">
        <v>2</v>
      </c>
      <c r="N13" s="12">
        <f t="shared" si="2"/>
        <v>2.4999999999999822</v>
      </c>
      <c r="O13" s="109"/>
      <c r="P13" s="109"/>
    </row>
    <row r="14" spans="2:18" ht="30" customHeight="1" x14ac:dyDescent="0.25">
      <c r="B14" s="89"/>
      <c r="C14" s="2" t="s">
        <v>32</v>
      </c>
      <c r="D14" s="2" t="s">
        <v>33</v>
      </c>
      <c r="E14" s="2" t="s">
        <v>206</v>
      </c>
      <c r="F14" s="69" t="s">
        <v>40</v>
      </c>
      <c r="G14" s="70"/>
      <c r="H14" s="2">
        <v>2</v>
      </c>
      <c r="I14" s="8">
        <v>0.57986111111111105</v>
      </c>
      <c r="J14" s="8">
        <v>0.61111111111111105</v>
      </c>
      <c r="K14" s="4">
        <v>0</v>
      </c>
      <c r="L14" s="10">
        <f t="shared" si="1"/>
        <v>45</v>
      </c>
      <c r="M14" s="12">
        <v>2</v>
      </c>
      <c r="N14" s="12">
        <f t="shared" si="2"/>
        <v>22.5</v>
      </c>
      <c r="O14" s="109"/>
      <c r="P14" s="109"/>
    </row>
    <row r="15" spans="2:18" ht="30" customHeight="1" x14ac:dyDescent="0.25">
      <c r="B15" s="89"/>
      <c r="C15" s="2" t="s">
        <v>32</v>
      </c>
      <c r="D15" s="2" t="s">
        <v>33</v>
      </c>
      <c r="E15" s="2" t="s">
        <v>41</v>
      </c>
      <c r="F15" s="69" t="s">
        <v>42</v>
      </c>
      <c r="G15" s="70"/>
      <c r="H15" s="2">
        <v>4</v>
      </c>
      <c r="I15" s="8">
        <v>0.61111111111111105</v>
      </c>
      <c r="J15" s="8">
        <v>0.64236111111111105</v>
      </c>
      <c r="K15" s="4">
        <v>15</v>
      </c>
      <c r="L15" s="10">
        <f t="shared" si="1"/>
        <v>30</v>
      </c>
      <c r="M15" s="12">
        <v>4</v>
      </c>
      <c r="N15" s="12">
        <f t="shared" si="2"/>
        <v>7.5</v>
      </c>
      <c r="O15" s="109"/>
      <c r="P15" s="109"/>
    </row>
    <row r="16" spans="2:18" ht="30" customHeight="1" x14ac:dyDescent="0.25">
      <c r="B16" s="90"/>
      <c r="C16" s="2" t="s">
        <v>32</v>
      </c>
      <c r="D16" s="2" t="s">
        <v>33</v>
      </c>
      <c r="E16" s="2" t="s">
        <v>41</v>
      </c>
      <c r="F16" s="69" t="s">
        <v>43</v>
      </c>
      <c r="G16" s="70"/>
      <c r="H16" s="2">
        <v>2</v>
      </c>
      <c r="I16" s="8">
        <v>0.64236111111111105</v>
      </c>
      <c r="J16" s="8">
        <v>0.66666666666666663</v>
      </c>
      <c r="K16" s="4">
        <v>12</v>
      </c>
      <c r="L16" s="10">
        <f t="shared" ref="L16:L80" si="3">((J16-I16+(J16&lt;I16))*1440)-K16</f>
        <v>23.000000000000036</v>
      </c>
      <c r="M16" s="12">
        <v>2</v>
      </c>
      <c r="N16" s="12">
        <f t="shared" si="2"/>
        <v>11.500000000000018</v>
      </c>
      <c r="O16" s="110"/>
      <c r="P16" s="110"/>
    </row>
    <row r="17" spans="2:16" ht="30" customHeight="1" x14ac:dyDescent="0.25">
      <c r="B17" s="1"/>
      <c r="C17" s="2"/>
      <c r="D17" s="2"/>
      <c r="E17" s="2"/>
      <c r="F17" s="69"/>
      <c r="G17" s="70"/>
      <c r="H17" s="2"/>
      <c r="I17" s="8">
        <v>0</v>
      </c>
      <c r="J17" s="8">
        <v>0</v>
      </c>
      <c r="K17" s="4">
        <v>0</v>
      </c>
      <c r="L17" s="10">
        <f t="shared" si="3"/>
        <v>0</v>
      </c>
      <c r="M17" s="12">
        <v>1</v>
      </c>
      <c r="N17" s="12">
        <f t="shared" ref="N17" si="4">L17/M17</f>
        <v>0</v>
      </c>
      <c r="O17" s="5"/>
      <c r="P17" s="5"/>
    </row>
    <row r="18" spans="2:16" ht="30" customHeight="1" x14ac:dyDescent="0.25">
      <c r="B18" s="1"/>
      <c r="C18" s="2"/>
      <c r="D18" s="2"/>
      <c r="E18" s="2"/>
      <c r="F18" s="69"/>
      <c r="G18" s="70"/>
      <c r="H18" s="2"/>
      <c r="I18" s="8">
        <v>0</v>
      </c>
      <c r="J18" s="8">
        <v>0</v>
      </c>
      <c r="K18" s="4">
        <v>0</v>
      </c>
      <c r="L18" s="10">
        <f t="shared" si="3"/>
        <v>0</v>
      </c>
      <c r="M18" s="12">
        <v>1</v>
      </c>
      <c r="N18" s="12">
        <f t="shared" ref="N18:N73" si="5">L18/M18</f>
        <v>0</v>
      </c>
      <c r="O18" s="5"/>
      <c r="P18" s="5" t="s">
        <v>170</v>
      </c>
    </row>
    <row r="19" spans="2:16" ht="43.2" customHeight="1" x14ac:dyDescent="0.25">
      <c r="B19" s="1">
        <v>46101</v>
      </c>
      <c r="C19" s="2"/>
      <c r="D19" s="2"/>
      <c r="E19" s="2" t="s">
        <v>153</v>
      </c>
      <c r="F19" s="69" t="s">
        <v>154</v>
      </c>
      <c r="G19" s="70"/>
      <c r="H19" s="2"/>
      <c r="I19" s="8">
        <v>0</v>
      </c>
      <c r="J19" s="8">
        <v>0</v>
      </c>
      <c r="K19" s="4">
        <v>0</v>
      </c>
      <c r="L19" s="10">
        <f t="shared" si="3"/>
        <v>0</v>
      </c>
      <c r="M19" s="12">
        <v>1</v>
      </c>
      <c r="N19" s="12">
        <f t="shared" si="5"/>
        <v>0</v>
      </c>
      <c r="O19" s="5"/>
      <c r="P19" s="5"/>
    </row>
    <row r="20" spans="2:16" ht="30" customHeight="1" x14ac:dyDescent="0.25">
      <c r="B20" s="1"/>
      <c r="C20" s="2"/>
      <c r="D20" s="2"/>
      <c r="E20" s="2" t="s">
        <v>155</v>
      </c>
      <c r="F20" s="69" t="s">
        <v>156</v>
      </c>
      <c r="G20" s="70"/>
      <c r="H20" s="2"/>
      <c r="I20" s="8">
        <v>0</v>
      </c>
      <c r="J20" s="8">
        <v>0</v>
      </c>
      <c r="K20" s="4">
        <v>0</v>
      </c>
      <c r="L20" s="10">
        <f t="shared" si="3"/>
        <v>0</v>
      </c>
      <c r="M20" s="12">
        <v>1</v>
      </c>
      <c r="N20" s="12">
        <f t="shared" si="5"/>
        <v>0</v>
      </c>
      <c r="O20" s="5"/>
      <c r="P20" s="5"/>
    </row>
    <row r="21" spans="2:16" ht="30" customHeight="1" thickBot="1" x14ac:dyDescent="0.3">
      <c r="B21" s="43"/>
      <c r="C21" s="17"/>
      <c r="D21" s="17"/>
      <c r="E21" s="17"/>
      <c r="F21" s="104"/>
      <c r="G21" s="105"/>
      <c r="H21" s="17"/>
      <c r="I21" s="18">
        <v>0</v>
      </c>
      <c r="J21" s="18">
        <v>0</v>
      </c>
      <c r="K21" s="19">
        <v>0</v>
      </c>
      <c r="L21" s="61">
        <f t="shared" si="3"/>
        <v>0</v>
      </c>
      <c r="M21" s="21">
        <v>1</v>
      </c>
      <c r="N21" s="21">
        <f t="shared" si="5"/>
        <v>0</v>
      </c>
      <c r="O21" s="22"/>
      <c r="P21" s="22"/>
    </row>
    <row r="22" spans="2:16" ht="30" customHeight="1" x14ac:dyDescent="0.25">
      <c r="B22" s="66">
        <v>46111</v>
      </c>
      <c r="C22" s="28" t="s">
        <v>32</v>
      </c>
      <c r="D22" s="28" t="s">
        <v>46</v>
      </c>
      <c r="E22" s="28" t="s">
        <v>131</v>
      </c>
      <c r="F22" s="71" t="s">
        <v>225</v>
      </c>
      <c r="G22" s="72"/>
      <c r="H22" s="28">
        <v>2</v>
      </c>
      <c r="I22" s="30">
        <v>0.29166666666666669</v>
      </c>
      <c r="J22" s="30">
        <v>0.3756944444444445</v>
      </c>
      <c r="K22" s="29">
        <v>3</v>
      </c>
      <c r="L22" s="63">
        <f t="shared" ref="L22:L27" si="6">((J22-I22+(J22&lt;I22))*1440)-K22</f>
        <v>118.00000000000006</v>
      </c>
      <c r="M22" s="32">
        <v>1</v>
      </c>
      <c r="N22" s="32">
        <f t="shared" ref="N22:N27" si="7">L22/M22</f>
        <v>118.00000000000006</v>
      </c>
      <c r="O22" s="33"/>
      <c r="P22" s="34"/>
    </row>
    <row r="23" spans="2:16" ht="30" customHeight="1" x14ac:dyDescent="0.25">
      <c r="B23" s="67"/>
      <c r="C23" s="2" t="s">
        <v>172</v>
      </c>
      <c r="D23" s="2" t="s">
        <v>226</v>
      </c>
      <c r="E23" s="2" t="s">
        <v>54</v>
      </c>
      <c r="F23" s="69" t="s">
        <v>229</v>
      </c>
      <c r="G23" s="70"/>
      <c r="H23" s="2">
        <v>8</v>
      </c>
      <c r="I23" s="8">
        <v>0.38819444444444445</v>
      </c>
      <c r="J23" s="8">
        <v>0.41111111111111115</v>
      </c>
      <c r="K23" s="4">
        <v>0</v>
      </c>
      <c r="L23" s="10">
        <f t="shared" si="6"/>
        <v>33.000000000000043</v>
      </c>
      <c r="M23" s="12">
        <v>1</v>
      </c>
      <c r="N23" s="12">
        <f t="shared" si="7"/>
        <v>33.000000000000043</v>
      </c>
      <c r="O23" s="5"/>
      <c r="P23" s="35"/>
    </row>
    <row r="24" spans="2:16" ht="30" customHeight="1" x14ac:dyDescent="0.25">
      <c r="B24" s="67"/>
      <c r="C24" s="2" t="s">
        <v>172</v>
      </c>
      <c r="D24" s="2" t="s">
        <v>227</v>
      </c>
      <c r="E24" s="2" t="s">
        <v>54</v>
      </c>
      <c r="F24" s="69" t="s">
        <v>229</v>
      </c>
      <c r="G24" s="70"/>
      <c r="H24" s="2">
        <v>16</v>
      </c>
      <c r="I24" s="8">
        <v>0.41111111111111115</v>
      </c>
      <c r="J24" s="8">
        <v>0.4513888888888889</v>
      </c>
      <c r="K24" s="4">
        <v>0</v>
      </c>
      <c r="L24" s="10">
        <f t="shared" si="6"/>
        <v>57.999999999999957</v>
      </c>
      <c r="M24" s="12">
        <v>1</v>
      </c>
      <c r="N24" s="12">
        <f t="shared" si="7"/>
        <v>57.999999999999957</v>
      </c>
      <c r="O24" s="5"/>
      <c r="P24" s="35"/>
    </row>
    <row r="25" spans="2:16" ht="30" customHeight="1" x14ac:dyDescent="0.25">
      <c r="B25" s="67"/>
      <c r="C25" s="2" t="s">
        <v>172</v>
      </c>
      <c r="D25" s="2" t="s">
        <v>208</v>
      </c>
      <c r="E25" s="2" t="s">
        <v>54</v>
      </c>
      <c r="F25" s="69" t="s">
        <v>230</v>
      </c>
      <c r="G25" s="70"/>
      <c r="H25" s="2">
        <v>12</v>
      </c>
      <c r="I25" s="8">
        <v>0.4513888888888889</v>
      </c>
      <c r="J25" s="8">
        <v>0.47222222222222227</v>
      </c>
      <c r="K25" s="4">
        <v>0</v>
      </c>
      <c r="L25" s="10">
        <f t="shared" si="6"/>
        <v>30.000000000000053</v>
      </c>
      <c r="M25" s="12">
        <v>1</v>
      </c>
      <c r="N25" s="12">
        <f t="shared" si="7"/>
        <v>30.000000000000053</v>
      </c>
      <c r="O25" s="5"/>
      <c r="P25" s="35"/>
    </row>
    <row r="26" spans="2:16" ht="30" customHeight="1" x14ac:dyDescent="0.25">
      <c r="B26" s="67"/>
      <c r="C26" s="2" t="s">
        <v>172</v>
      </c>
      <c r="D26" s="2" t="s">
        <v>228</v>
      </c>
      <c r="E26" s="2" t="s">
        <v>54</v>
      </c>
      <c r="F26" s="69" t="s">
        <v>231</v>
      </c>
      <c r="G26" s="70"/>
      <c r="H26" s="2">
        <v>8</v>
      </c>
      <c r="I26" s="8">
        <v>0.47222222222222227</v>
      </c>
      <c r="J26" s="8">
        <v>0.4861111111111111</v>
      </c>
      <c r="K26" s="4">
        <v>0</v>
      </c>
      <c r="L26" s="10">
        <f t="shared" si="6"/>
        <v>19.999999999999929</v>
      </c>
      <c r="M26" s="12">
        <v>1</v>
      </c>
      <c r="N26" s="12">
        <f t="shared" si="7"/>
        <v>19.999999999999929</v>
      </c>
      <c r="O26" s="5"/>
      <c r="P26" s="35"/>
    </row>
    <row r="27" spans="2:16" ht="30" customHeight="1" x14ac:dyDescent="0.25">
      <c r="B27" s="67"/>
      <c r="C27" s="2" t="s">
        <v>172</v>
      </c>
      <c r="D27" s="2" t="s">
        <v>233</v>
      </c>
      <c r="E27" s="2" t="s">
        <v>131</v>
      </c>
      <c r="F27" s="69" t="s">
        <v>232</v>
      </c>
      <c r="G27" s="70"/>
      <c r="H27" s="2">
        <v>8</v>
      </c>
      <c r="I27" s="8">
        <v>0.4861111111111111</v>
      </c>
      <c r="J27" s="8">
        <v>0.54166666666666663</v>
      </c>
      <c r="K27" s="4">
        <v>0</v>
      </c>
      <c r="L27" s="10">
        <f t="shared" si="6"/>
        <v>79.999999999999957</v>
      </c>
      <c r="M27" s="12">
        <v>1</v>
      </c>
      <c r="N27" s="12">
        <f t="shared" si="7"/>
        <v>79.999999999999957</v>
      </c>
      <c r="O27" s="5"/>
      <c r="P27" s="35"/>
    </row>
    <row r="28" spans="2:16" ht="30" customHeight="1" x14ac:dyDescent="0.25">
      <c r="B28" s="67"/>
      <c r="C28" s="2" t="s">
        <v>172</v>
      </c>
      <c r="D28" s="2" t="s">
        <v>234</v>
      </c>
      <c r="E28" s="2" t="s">
        <v>54</v>
      </c>
      <c r="F28" s="69" t="s">
        <v>235</v>
      </c>
      <c r="G28" s="70"/>
      <c r="H28" s="2">
        <v>6</v>
      </c>
      <c r="I28" s="8">
        <v>0.54166666666666663</v>
      </c>
      <c r="J28" s="8">
        <v>0.59375</v>
      </c>
      <c r="K28" s="4">
        <v>43</v>
      </c>
      <c r="L28" s="10">
        <f t="shared" ref="L28:L38" si="8">((J28-I28+(J28&lt;I28))*1440)-K28</f>
        <v>32.000000000000057</v>
      </c>
      <c r="M28" s="12">
        <v>1</v>
      </c>
      <c r="N28" s="12">
        <f t="shared" si="5"/>
        <v>32.000000000000057</v>
      </c>
      <c r="O28" s="5"/>
      <c r="P28" s="35"/>
    </row>
    <row r="29" spans="2:16" ht="30" customHeight="1" x14ac:dyDescent="0.25">
      <c r="B29" s="67"/>
      <c r="C29" s="2" t="s">
        <v>172</v>
      </c>
      <c r="D29" s="2" t="s">
        <v>233</v>
      </c>
      <c r="E29" s="17" t="s">
        <v>54</v>
      </c>
      <c r="F29" s="69" t="s">
        <v>236</v>
      </c>
      <c r="G29" s="70"/>
      <c r="H29" s="17">
        <v>14</v>
      </c>
      <c r="I29" s="8">
        <v>0.59375</v>
      </c>
      <c r="J29" s="8">
        <v>0.62638888888888888</v>
      </c>
      <c r="K29" s="4">
        <v>2</v>
      </c>
      <c r="L29" s="10">
        <f t="shared" ref="L29:L30" si="9">((J29-I29+(J29&lt;I29))*1440)-K29</f>
        <v>44.999999999999993</v>
      </c>
      <c r="M29" s="12">
        <v>2</v>
      </c>
      <c r="N29" s="12">
        <f t="shared" ref="N29:N30" si="10">L29/M29</f>
        <v>22.499999999999996</v>
      </c>
      <c r="O29" s="22"/>
      <c r="P29" s="65"/>
    </row>
    <row r="30" spans="2:16" ht="30" customHeight="1" thickBot="1" x14ac:dyDescent="0.3">
      <c r="B30" s="68"/>
      <c r="C30" s="36" t="s">
        <v>172</v>
      </c>
      <c r="D30" s="36" t="s">
        <v>226</v>
      </c>
      <c r="E30" s="36" t="s">
        <v>237</v>
      </c>
      <c r="F30" s="73" t="s">
        <v>238</v>
      </c>
      <c r="G30" s="74"/>
      <c r="H30" s="36">
        <v>4</v>
      </c>
      <c r="I30" s="38">
        <v>0.62638888888888888</v>
      </c>
      <c r="J30" s="38">
        <v>0.66666666666666663</v>
      </c>
      <c r="K30" s="37">
        <f>3+20</f>
        <v>23</v>
      </c>
      <c r="L30" s="64">
        <f t="shared" si="9"/>
        <v>34.999999999999957</v>
      </c>
      <c r="M30" s="40">
        <v>3</v>
      </c>
      <c r="N30" s="40">
        <f t="shared" si="10"/>
        <v>11.666666666666652</v>
      </c>
      <c r="O30" s="41"/>
      <c r="P30" s="42"/>
    </row>
    <row r="31" spans="2:16" ht="30" customHeight="1" x14ac:dyDescent="0.25">
      <c r="B31" s="66">
        <v>46112</v>
      </c>
      <c r="C31" s="28" t="s">
        <v>172</v>
      </c>
      <c r="D31" s="28" t="s">
        <v>202</v>
      </c>
      <c r="E31" s="28" t="s">
        <v>54</v>
      </c>
      <c r="F31" s="71" t="s">
        <v>203</v>
      </c>
      <c r="G31" s="72"/>
      <c r="H31" s="28">
        <v>2</v>
      </c>
      <c r="I31" s="30">
        <v>0.29166666666666669</v>
      </c>
      <c r="J31" s="30">
        <v>0.34722222222222227</v>
      </c>
      <c r="K31" s="29">
        <v>0</v>
      </c>
      <c r="L31" s="63">
        <f t="shared" si="8"/>
        <v>80.000000000000028</v>
      </c>
      <c r="M31" s="32">
        <v>2</v>
      </c>
      <c r="N31" s="32">
        <f t="shared" si="5"/>
        <v>40.000000000000014</v>
      </c>
      <c r="O31" s="33"/>
      <c r="P31" s="34"/>
    </row>
    <row r="32" spans="2:16" ht="30" customHeight="1" x14ac:dyDescent="0.25">
      <c r="B32" s="67"/>
      <c r="C32" s="2" t="s">
        <v>32</v>
      </c>
      <c r="D32" s="2" t="s">
        <v>46</v>
      </c>
      <c r="E32" s="2" t="s">
        <v>76</v>
      </c>
      <c r="F32" s="69" t="s">
        <v>204</v>
      </c>
      <c r="G32" s="70"/>
      <c r="H32" s="2">
        <v>2</v>
      </c>
      <c r="I32" s="8">
        <v>0.34722222222222227</v>
      </c>
      <c r="J32" s="8">
        <v>0.36805555555555558</v>
      </c>
      <c r="K32" s="4">
        <v>2</v>
      </c>
      <c r="L32" s="10">
        <f t="shared" si="8"/>
        <v>27.999999999999972</v>
      </c>
      <c r="M32" s="12">
        <v>2</v>
      </c>
      <c r="N32" s="12">
        <f t="shared" si="5"/>
        <v>13.999999999999986</v>
      </c>
      <c r="O32" s="5"/>
      <c r="P32" s="35"/>
    </row>
    <row r="33" spans="2:16" ht="39" customHeight="1" x14ac:dyDescent="0.25">
      <c r="B33" s="67"/>
      <c r="C33" s="2" t="s">
        <v>172</v>
      </c>
      <c r="D33" s="2" t="s">
        <v>202</v>
      </c>
      <c r="E33" s="2" t="s">
        <v>205</v>
      </c>
      <c r="F33" s="69" t="s">
        <v>207</v>
      </c>
      <c r="G33" s="70"/>
      <c r="H33" s="2">
        <v>14</v>
      </c>
      <c r="I33" s="8">
        <v>0.36805555555555558</v>
      </c>
      <c r="J33" s="8">
        <v>0.45277777777777778</v>
      </c>
      <c r="K33" s="4">
        <v>0</v>
      </c>
      <c r="L33" s="10">
        <f t="shared" si="8"/>
        <v>121.99999999999997</v>
      </c>
      <c r="M33" s="12">
        <v>14</v>
      </c>
      <c r="N33" s="12">
        <f t="shared" si="5"/>
        <v>8.7142857142857117</v>
      </c>
      <c r="O33" s="5"/>
      <c r="P33" s="35"/>
    </row>
    <row r="34" spans="2:16" ht="30" customHeight="1" x14ac:dyDescent="0.25">
      <c r="B34" s="67"/>
      <c r="C34" s="2" t="s">
        <v>172</v>
      </c>
      <c r="D34" s="2" t="s">
        <v>208</v>
      </c>
      <c r="E34" s="2" t="s">
        <v>209</v>
      </c>
      <c r="F34" s="69" t="s">
        <v>210</v>
      </c>
      <c r="G34" s="70"/>
      <c r="H34" s="2">
        <v>4</v>
      </c>
      <c r="I34" s="8">
        <v>0.45277777777777778</v>
      </c>
      <c r="J34" s="8">
        <v>0.46319444444444446</v>
      </c>
      <c r="K34" s="4">
        <v>17</v>
      </c>
      <c r="L34" s="10">
        <f t="shared" si="8"/>
        <v>-1.9999999999999734</v>
      </c>
      <c r="M34" s="12">
        <v>4</v>
      </c>
      <c r="N34" s="12">
        <f t="shared" si="5"/>
        <v>-0.49999999999999334</v>
      </c>
      <c r="O34" s="5"/>
      <c r="P34" s="35"/>
    </row>
    <row r="35" spans="2:16" ht="30" customHeight="1" x14ac:dyDescent="0.25">
      <c r="B35" s="67"/>
      <c r="C35" s="2" t="s">
        <v>172</v>
      </c>
      <c r="D35" s="2" t="s">
        <v>211</v>
      </c>
      <c r="E35" s="2" t="s">
        <v>209</v>
      </c>
      <c r="F35" s="69" t="s">
        <v>212</v>
      </c>
      <c r="G35" s="70"/>
      <c r="H35" s="2">
        <v>2</v>
      </c>
      <c r="I35" s="8">
        <v>0.46527777777777773</v>
      </c>
      <c r="J35" s="8">
        <v>0.5229166666666667</v>
      </c>
      <c r="K35" s="4">
        <v>0</v>
      </c>
      <c r="L35" s="10">
        <f t="shared" si="8"/>
        <v>83.000000000000099</v>
      </c>
      <c r="M35" s="12">
        <v>2</v>
      </c>
      <c r="N35" s="12">
        <f t="shared" si="5"/>
        <v>41.50000000000005</v>
      </c>
      <c r="O35" s="5"/>
      <c r="P35" s="35"/>
    </row>
    <row r="36" spans="2:16" ht="30" customHeight="1" x14ac:dyDescent="0.25">
      <c r="B36" s="67"/>
      <c r="C36" s="2" t="s">
        <v>213</v>
      </c>
      <c r="D36" s="2" t="s">
        <v>46</v>
      </c>
      <c r="E36" s="2" t="s">
        <v>214</v>
      </c>
      <c r="F36" s="69" t="s">
        <v>200</v>
      </c>
      <c r="G36" s="70"/>
      <c r="H36" s="2">
        <v>1</v>
      </c>
      <c r="I36" s="8">
        <v>0.5229166666666667</v>
      </c>
      <c r="J36" s="8">
        <v>0.57986111111111105</v>
      </c>
      <c r="K36" s="4">
        <v>40</v>
      </c>
      <c r="L36" s="10">
        <f t="shared" si="8"/>
        <v>41.999999999999872</v>
      </c>
      <c r="M36" s="12">
        <v>1</v>
      </c>
      <c r="N36" s="12">
        <f t="shared" si="5"/>
        <v>41.999999999999872</v>
      </c>
      <c r="O36" s="5"/>
      <c r="P36" s="35"/>
    </row>
    <row r="37" spans="2:16" ht="30" customHeight="1" thickBot="1" x14ac:dyDescent="0.3">
      <c r="B37" s="68"/>
      <c r="C37" s="36" t="s">
        <v>172</v>
      </c>
      <c r="D37" s="36" t="s">
        <v>215</v>
      </c>
      <c r="E37" s="36" t="s">
        <v>216</v>
      </c>
      <c r="F37" s="73" t="s">
        <v>217</v>
      </c>
      <c r="G37" s="74"/>
      <c r="H37" s="36">
        <v>1</v>
      </c>
      <c r="I37" s="38">
        <v>0.57986111111111105</v>
      </c>
      <c r="J37" s="38">
        <v>0.66666666666666663</v>
      </c>
      <c r="K37" s="37">
        <v>5</v>
      </c>
      <c r="L37" s="64">
        <f t="shared" si="8"/>
        <v>120.00000000000003</v>
      </c>
      <c r="M37" s="40">
        <v>1</v>
      </c>
      <c r="N37" s="40">
        <f t="shared" si="5"/>
        <v>120.00000000000003</v>
      </c>
      <c r="O37" s="41"/>
      <c r="P37" s="42"/>
    </row>
    <row r="38" spans="2:16" ht="30" customHeight="1" x14ac:dyDescent="0.25">
      <c r="B38" s="66">
        <v>46113</v>
      </c>
      <c r="C38" s="28" t="s">
        <v>172</v>
      </c>
      <c r="D38" s="28" t="s">
        <v>215</v>
      </c>
      <c r="E38" s="28" t="s">
        <v>218</v>
      </c>
      <c r="F38" s="71" t="s">
        <v>219</v>
      </c>
      <c r="G38" s="72"/>
      <c r="H38" s="28">
        <v>10</v>
      </c>
      <c r="I38" s="30">
        <v>0.29166666666666669</v>
      </c>
      <c r="J38" s="30">
        <v>0.4375</v>
      </c>
      <c r="K38" s="29">
        <v>5</v>
      </c>
      <c r="L38" s="63">
        <f t="shared" si="8"/>
        <v>204.99999999999997</v>
      </c>
      <c r="M38" s="32">
        <v>1</v>
      </c>
      <c r="N38" s="32">
        <f t="shared" si="5"/>
        <v>204.99999999999997</v>
      </c>
      <c r="O38" s="33"/>
      <c r="P38" s="34"/>
    </row>
    <row r="39" spans="2:16" ht="30" customHeight="1" x14ac:dyDescent="0.25">
      <c r="B39" s="67"/>
      <c r="C39" s="2" t="s">
        <v>172</v>
      </c>
      <c r="D39" s="2" t="s">
        <v>215</v>
      </c>
      <c r="E39" s="2" t="s">
        <v>220</v>
      </c>
      <c r="F39" s="69" t="s">
        <v>221</v>
      </c>
      <c r="G39" s="70"/>
      <c r="H39" s="2">
        <v>10</v>
      </c>
      <c r="I39" s="8">
        <v>0.4375</v>
      </c>
      <c r="J39" s="8">
        <v>0.49305555555555558</v>
      </c>
      <c r="K39" s="4">
        <v>3</v>
      </c>
      <c r="L39" s="10">
        <f t="shared" si="3"/>
        <v>77.000000000000028</v>
      </c>
      <c r="M39" s="12">
        <v>1</v>
      </c>
      <c r="N39" s="12">
        <f t="shared" si="5"/>
        <v>77.000000000000028</v>
      </c>
      <c r="O39" s="5"/>
      <c r="P39" s="35"/>
    </row>
    <row r="40" spans="2:16" ht="30" customHeight="1" x14ac:dyDescent="0.25">
      <c r="B40" s="67"/>
      <c r="C40" s="2" t="s">
        <v>172</v>
      </c>
      <c r="D40" s="2" t="s">
        <v>215</v>
      </c>
      <c r="E40" s="2" t="s">
        <v>205</v>
      </c>
      <c r="F40" s="69" t="s">
        <v>222</v>
      </c>
      <c r="G40" s="70"/>
      <c r="H40" s="2">
        <v>5</v>
      </c>
      <c r="I40" s="8">
        <v>0.49305555555555558</v>
      </c>
      <c r="J40" s="8">
        <v>0.58680555555555558</v>
      </c>
      <c r="K40" s="4">
        <f>1+3+40+2</f>
        <v>46</v>
      </c>
      <c r="L40" s="10">
        <f t="shared" ref="L40" si="11">((J40-I40+(J40&lt;I40))*1440)-K40</f>
        <v>89</v>
      </c>
      <c r="M40" s="12">
        <v>2</v>
      </c>
      <c r="N40" s="12">
        <f t="shared" ref="N40" si="12">L40/M40</f>
        <v>44.5</v>
      </c>
      <c r="O40" s="5"/>
      <c r="P40" s="35"/>
    </row>
    <row r="41" spans="2:16" ht="30" customHeight="1" x14ac:dyDescent="0.25">
      <c r="B41" s="67"/>
      <c r="C41" s="2" t="s">
        <v>172</v>
      </c>
      <c r="D41" s="2" t="s">
        <v>223</v>
      </c>
      <c r="E41" s="2" t="s">
        <v>205</v>
      </c>
      <c r="F41" s="69" t="s">
        <v>224</v>
      </c>
      <c r="G41" s="70"/>
      <c r="H41" s="2">
        <v>2</v>
      </c>
      <c r="I41" s="8">
        <v>0.58680555555555558</v>
      </c>
      <c r="J41" s="8">
        <v>0.64583333333333337</v>
      </c>
      <c r="K41" s="4">
        <v>2</v>
      </c>
      <c r="L41" s="10">
        <f t="shared" si="3"/>
        <v>83.000000000000014</v>
      </c>
      <c r="M41" s="12">
        <v>1</v>
      </c>
      <c r="N41" s="12">
        <f t="shared" si="5"/>
        <v>83.000000000000014</v>
      </c>
      <c r="O41" s="5"/>
      <c r="P41" s="35"/>
    </row>
    <row r="42" spans="2:16" ht="30" customHeight="1" thickBot="1" x14ac:dyDescent="0.3">
      <c r="B42" s="68"/>
      <c r="C42" s="36" t="s">
        <v>46</v>
      </c>
      <c r="D42" s="36" t="s">
        <v>46</v>
      </c>
      <c r="E42" s="36" t="s">
        <v>76</v>
      </c>
      <c r="F42" s="73" t="s">
        <v>199</v>
      </c>
      <c r="G42" s="74"/>
      <c r="H42" s="36">
        <v>16</v>
      </c>
      <c r="I42" s="38">
        <v>0.64583333333333337</v>
      </c>
      <c r="J42" s="38">
        <v>0.66666666666666663</v>
      </c>
      <c r="K42" s="37">
        <v>3</v>
      </c>
      <c r="L42" s="64">
        <f t="shared" si="3"/>
        <v>26.999999999999893</v>
      </c>
      <c r="M42" s="40">
        <v>1</v>
      </c>
      <c r="N42" s="40">
        <f t="shared" si="5"/>
        <v>26.999999999999893</v>
      </c>
      <c r="O42" s="41"/>
      <c r="P42" s="42"/>
    </row>
    <row r="43" spans="2:16" ht="30" customHeight="1" x14ac:dyDescent="0.25">
      <c r="B43" s="15">
        <v>46118</v>
      </c>
      <c r="C43" s="16" t="s">
        <v>172</v>
      </c>
      <c r="D43" s="16" t="s">
        <v>46</v>
      </c>
      <c r="E43" s="16" t="s">
        <v>195</v>
      </c>
      <c r="F43" s="106" t="s">
        <v>201</v>
      </c>
      <c r="G43" s="107"/>
      <c r="H43" s="16">
        <v>17</v>
      </c>
      <c r="I43" s="24">
        <v>0.29166666666666669</v>
      </c>
      <c r="J43" s="24">
        <v>0.64583333333333337</v>
      </c>
      <c r="K43" s="23">
        <v>0</v>
      </c>
      <c r="L43" s="62">
        <f t="shared" si="3"/>
        <v>510</v>
      </c>
      <c r="M43" s="26">
        <v>1</v>
      </c>
      <c r="N43" s="26">
        <f t="shared" si="5"/>
        <v>510</v>
      </c>
      <c r="O43" s="27"/>
      <c r="P43" s="27"/>
    </row>
    <row r="44" spans="2:16" ht="30" customHeight="1" x14ac:dyDescent="0.25">
      <c r="B44" s="1">
        <v>46118</v>
      </c>
      <c r="C44" s="2" t="s">
        <v>46</v>
      </c>
      <c r="D44" s="2" t="s">
        <v>46</v>
      </c>
      <c r="E44" s="2" t="s">
        <v>179</v>
      </c>
      <c r="F44" s="69" t="s">
        <v>200</v>
      </c>
      <c r="G44" s="70"/>
      <c r="H44" s="2">
        <v>1</v>
      </c>
      <c r="I44" s="8">
        <v>0.64583333333333337</v>
      </c>
      <c r="J44" s="8">
        <v>0.66666666666666663</v>
      </c>
      <c r="K44" s="4">
        <v>0</v>
      </c>
      <c r="L44" s="10">
        <f t="shared" si="3"/>
        <v>29.999999999999893</v>
      </c>
      <c r="M44" s="12">
        <v>1</v>
      </c>
      <c r="N44" s="12">
        <f t="shared" si="5"/>
        <v>29.999999999999893</v>
      </c>
      <c r="O44" s="5"/>
      <c r="P44" s="5"/>
    </row>
    <row r="45" spans="2:16" ht="30" customHeight="1" x14ac:dyDescent="0.25">
      <c r="B45" s="1"/>
      <c r="C45" s="2"/>
      <c r="D45" s="2"/>
      <c r="E45" s="2"/>
      <c r="F45" s="69"/>
      <c r="G45" s="70"/>
      <c r="H45" s="2"/>
      <c r="I45" s="8">
        <v>0</v>
      </c>
      <c r="J45" s="8">
        <v>0</v>
      </c>
      <c r="K45" s="4">
        <v>0</v>
      </c>
      <c r="L45" s="10">
        <f t="shared" si="3"/>
        <v>0</v>
      </c>
      <c r="M45" s="12">
        <v>1</v>
      </c>
      <c r="N45" s="12">
        <f t="shared" si="5"/>
        <v>0</v>
      </c>
      <c r="O45" s="5"/>
      <c r="P45" s="5"/>
    </row>
    <row r="46" spans="2:16" ht="30" customHeight="1" x14ac:dyDescent="0.25">
      <c r="B46" s="1"/>
      <c r="C46" s="2"/>
      <c r="D46" s="2"/>
      <c r="E46" s="2"/>
      <c r="F46" s="69"/>
      <c r="G46" s="70"/>
      <c r="H46" s="2"/>
      <c r="I46" s="8">
        <v>0</v>
      </c>
      <c r="J46" s="8">
        <v>0</v>
      </c>
      <c r="K46" s="4">
        <v>0</v>
      </c>
      <c r="L46" s="10">
        <f t="shared" si="3"/>
        <v>0</v>
      </c>
      <c r="M46" s="12">
        <v>1</v>
      </c>
      <c r="N46" s="12">
        <f t="shared" si="5"/>
        <v>0</v>
      </c>
      <c r="O46" s="5"/>
      <c r="P46" s="5"/>
    </row>
    <row r="47" spans="2:16" ht="30" customHeight="1" x14ac:dyDescent="0.25">
      <c r="B47" s="1"/>
      <c r="C47" s="2"/>
      <c r="D47" s="2"/>
      <c r="E47" s="2"/>
      <c r="F47" s="69"/>
      <c r="G47" s="70"/>
      <c r="H47" s="2"/>
      <c r="I47" s="8">
        <v>0</v>
      </c>
      <c r="J47" s="8">
        <v>0</v>
      </c>
      <c r="K47" s="4">
        <v>0</v>
      </c>
      <c r="L47" s="10">
        <f t="shared" si="3"/>
        <v>0</v>
      </c>
      <c r="M47" s="12">
        <v>1</v>
      </c>
      <c r="N47" s="12">
        <f t="shared" si="5"/>
        <v>0</v>
      </c>
      <c r="O47" s="5"/>
      <c r="P47" s="5"/>
    </row>
    <row r="48" spans="2:16" ht="30" customHeight="1" x14ac:dyDescent="0.25">
      <c r="B48" s="1"/>
      <c r="C48" s="2"/>
      <c r="D48" s="2"/>
      <c r="E48" s="2"/>
      <c r="F48" s="69"/>
      <c r="G48" s="70"/>
      <c r="H48" s="2"/>
      <c r="I48" s="8">
        <v>0</v>
      </c>
      <c r="J48" s="8">
        <v>0</v>
      </c>
      <c r="K48" s="4">
        <v>0</v>
      </c>
      <c r="L48" s="10">
        <f t="shared" si="3"/>
        <v>0</v>
      </c>
      <c r="M48" s="12">
        <v>1</v>
      </c>
      <c r="N48" s="12">
        <f t="shared" si="5"/>
        <v>0</v>
      </c>
      <c r="O48" s="5"/>
      <c r="P48" s="5"/>
    </row>
    <row r="49" spans="2:16" ht="30" customHeight="1" x14ac:dyDescent="0.25">
      <c r="B49" s="1"/>
      <c r="C49" s="2"/>
      <c r="D49" s="2"/>
      <c r="E49" s="2"/>
      <c r="F49" s="69"/>
      <c r="G49" s="70"/>
      <c r="H49" s="2"/>
      <c r="I49" s="8">
        <v>0</v>
      </c>
      <c r="J49" s="8">
        <v>0</v>
      </c>
      <c r="K49" s="4">
        <v>0</v>
      </c>
      <c r="L49" s="10">
        <f t="shared" si="3"/>
        <v>0</v>
      </c>
      <c r="M49" s="12">
        <v>1</v>
      </c>
      <c r="N49" s="12">
        <f t="shared" si="5"/>
        <v>0</v>
      </c>
      <c r="O49" s="5"/>
      <c r="P49" s="5"/>
    </row>
    <row r="50" spans="2:16" ht="30" customHeight="1" x14ac:dyDescent="0.25">
      <c r="B50" s="1"/>
      <c r="C50" s="2"/>
      <c r="D50" s="2"/>
      <c r="E50" s="2"/>
      <c r="F50" s="69"/>
      <c r="G50" s="70"/>
      <c r="H50" s="2"/>
      <c r="I50" s="8">
        <v>0</v>
      </c>
      <c r="J50" s="8">
        <v>0</v>
      </c>
      <c r="K50" s="4">
        <v>0</v>
      </c>
      <c r="L50" s="10">
        <f t="shared" si="3"/>
        <v>0</v>
      </c>
      <c r="M50" s="12">
        <v>1</v>
      </c>
      <c r="N50" s="12">
        <f t="shared" si="5"/>
        <v>0</v>
      </c>
      <c r="O50" s="5"/>
      <c r="P50" s="5"/>
    </row>
    <row r="51" spans="2:16" ht="30" customHeight="1" x14ac:dyDescent="0.25">
      <c r="B51" s="1"/>
      <c r="C51" s="2"/>
      <c r="D51" s="2"/>
      <c r="E51" s="2"/>
      <c r="F51" s="69"/>
      <c r="G51" s="70"/>
      <c r="H51" s="2"/>
      <c r="I51" s="8">
        <v>0</v>
      </c>
      <c r="J51" s="8">
        <v>0</v>
      </c>
      <c r="K51" s="4">
        <v>0</v>
      </c>
      <c r="L51" s="10">
        <f t="shared" si="3"/>
        <v>0</v>
      </c>
      <c r="M51" s="12">
        <v>1</v>
      </c>
      <c r="N51" s="12">
        <f t="shared" si="5"/>
        <v>0</v>
      </c>
      <c r="O51" s="5"/>
      <c r="P51" s="5"/>
    </row>
    <row r="52" spans="2:16" ht="30" customHeight="1" x14ac:dyDescent="0.25">
      <c r="B52" s="1"/>
      <c r="C52" s="2"/>
      <c r="D52" s="2"/>
      <c r="E52" s="2"/>
      <c r="F52" s="69"/>
      <c r="G52" s="70"/>
      <c r="H52" s="2"/>
      <c r="I52" s="8">
        <v>0</v>
      </c>
      <c r="J52" s="8">
        <v>0</v>
      </c>
      <c r="K52" s="4">
        <v>0</v>
      </c>
      <c r="L52" s="10">
        <f t="shared" si="3"/>
        <v>0</v>
      </c>
      <c r="M52" s="12">
        <v>1</v>
      </c>
      <c r="N52" s="12">
        <f t="shared" si="5"/>
        <v>0</v>
      </c>
      <c r="O52" s="5"/>
      <c r="P52" s="5"/>
    </row>
    <row r="53" spans="2:16" ht="30" customHeight="1" x14ac:dyDescent="0.25">
      <c r="B53" s="1"/>
      <c r="C53" s="2"/>
      <c r="D53" s="2"/>
      <c r="E53" s="2"/>
      <c r="F53" s="69"/>
      <c r="G53" s="70"/>
      <c r="H53" s="2"/>
      <c r="I53" s="8">
        <v>0</v>
      </c>
      <c r="J53" s="8">
        <v>0</v>
      </c>
      <c r="K53" s="4">
        <v>0</v>
      </c>
      <c r="L53" s="10">
        <f t="shared" si="3"/>
        <v>0</v>
      </c>
      <c r="M53" s="12">
        <v>1</v>
      </c>
      <c r="N53" s="12">
        <f t="shared" si="5"/>
        <v>0</v>
      </c>
      <c r="O53" s="5"/>
      <c r="P53" s="5"/>
    </row>
    <row r="54" spans="2:16" ht="30" customHeight="1" x14ac:dyDescent="0.25">
      <c r="B54" s="1"/>
      <c r="C54" s="2"/>
      <c r="D54" s="2"/>
      <c r="E54" s="2"/>
      <c r="F54" s="69"/>
      <c r="G54" s="70"/>
      <c r="H54" s="2"/>
      <c r="I54" s="8">
        <v>0</v>
      </c>
      <c r="J54" s="8">
        <v>0</v>
      </c>
      <c r="K54" s="4">
        <v>0</v>
      </c>
      <c r="L54" s="10">
        <f t="shared" si="3"/>
        <v>0</v>
      </c>
      <c r="M54" s="12">
        <v>1</v>
      </c>
      <c r="N54" s="12">
        <f t="shared" si="5"/>
        <v>0</v>
      </c>
      <c r="O54" s="5"/>
      <c r="P54" s="5"/>
    </row>
    <row r="55" spans="2:16" ht="30" customHeight="1" x14ac:dyDescent="0.25">
      <c r="B55" s="1"/>
      <c r="C55" s="2"/>
      <c r="D55" s="2"/>
      <c r="E55" s="2"/>
      <c r="F55" s="69"/>
      <c r="G55" s="70"/>
      <c r="H55" s="2"/>
      <c r="I55" s="8">
        <v>0</v>
      </c>
      <c r="J55" s="8">
        <v>0</v>
      </c>
      <c r="K55" s="4">
        <v>0</v>
      </c>
      <c r="L55" s="10">
        <f t="shared" si="3"/>
        <v>0</v>
      </c>
      <c r="M55" s="12">
        <v>1</v>
      </c>
      <c r="N55" s="12">
        <f t="shared" si="5"/>
        <v>0</v>
      </c>
      <c r="O55" s="5"/>
      <c r="P55" s="5"/>
    </row>
    <row r="56" spans="2:16" ht="30" customHeight="1" x14ac:dyDescent="0.25">
      <c r="B56" s="1"/>
      <c r="C56" s="2"/>
      <c r="D56" s="2"/>
      <c r="E56" s="2"/>
      <c r="F56" s="69"/>
      <c r="G56" s="70"/>
      <c r="H56" s="2"/>
      <c r="I56" s="8">
        <v>0</v>
      </c>
      <c r="J56" s="8">
        <v>0</v>
      </c>
      <c r="K56" s="4">
        <v>0</v>
      </c>
      <c r="L56" s="10">
        <f t="shared" si="3"/>
        <v>0</v>
      </c>
      <c r="M56" s="12">
        <v>1</v>
      </c>
      <c r="N56" s="12">
        <f t="shared" si="5"/>
        <v>0</v>
      </c>
      <c r="O56" s="5"/>
      <c r="P56" s="5"/>
    </row>
    <row r="57" spans="2:16" ht="30" customHeight="1" x14ac:dyDescent="0.25">
      <c r="B57" s="1"/>
      <c r="C57" s="2"/>
      <c r="D57" s="2"/>
      <c r="E57" s="2"/>
      <c r="F57" s="69"/>
      <c r="G57" s="70"/>
      <c r="H57" s="2"/>
      <c r="I57" s="8">
        <v>0</v>
      </c>
      <c r="J57" s="8">
        <v>0</v>
      </c>
      <c r="K57" s="4">
        <v>0</v>
      </c>
      <c r="L57" s="10">
        <f t="shared" si="3"/>
        <v>0</v>
      </c>
      <c r="M57" s="12">
        <v>1</v>
      </c>
      <c r="N57" s="12">
        <f t="shared" si="5"/>
        <v>0</v>
      </c>
      <c r="O57" s="5"/>
      <c r="P57" s="5"/>
    </row>
    <row r="58" spans="2:16" ht="30" customHeight="1" x14ac:dyDescent="0.25">
      <c r="B58" s="1"/>
      <c r="C58" s="2"/>
      <c r="D58" s="2"/>
      <c r="E58" s="2"/>
      <c r="F58" s="69"/>
      <c r="G58" s="70"/>
      <c r="H58" s="2"/>
      <c r="I58" s="8">
        <v>0</v>
      </c>
      <c r="J58" s="8">
        <v>0</v>
      </c>
      <c r="K58" s="4">
        <v>0</v>
      </c>
      <c r="L58" s="10">
        <f t="shared" si="3"/>
        <v>0</v>
      </c>
      <c r="M58" s="12">
        <v>1</v>
      </c>
      <c r="N58" s="12">
        <f t="shared" si="5"/>
        <v>0</v>
      </c>
      <c r="O58" s="5"/>
      <c r="P58" s="5"/>
    </row>
    <row r="59" spans="2:16" ht="30" customHeight="1" x14ac:dyDescent="0.25">
      <c r="B59" s="1"/>
      <c r="C59" s="2"/>
      <c r="D59" s="2"/>
      <c r="E59" s="2"/>
      <c r="F59" s="69"/>
      <c r="G59" s="70"/>
      <c r="H59" s="2"/>
      <c r="I59" s="8">
        <v>0</v>
      </c>
      <c r="J59" s="8">
        <v>0</v>
      </c>
      <c r="K59" s="4">
        <v>0</v>
      </c>
      <c r="L59" s="10">
        <f t="shared" si="3"/>
        <v>0</v>
      </c>
      <c r="M59" s="12">
        <v>1</v>
      </c>
      <c r="N59" s="12">
        <f t="shared" si="5"/>
        <v>0</v>
      </c>
      <c r="O59" s="5"/>
      <c r="P59" s="5"/>
    </row>
    <row r="60" spans="2:16" ht="30" customHeight="1" x14ac:dyDescent="0.25">
      <c r="B60" s="1"/>
      <c r="C60" s="2"/>
      <c r="D60" s="2"/>
      <c r="E60" s="2"/>
      <c r="F60" s="69"/>
      <c r="G60" s="70"/>
      <c r="H60" s="2"/>
      <c r="I60" s="8">
        <v>0</v>
      </c>
      <c r="J60" s="8">
        <v>0</v>
      </c>
      <c r="K60" s="4">
        <v>0</v>
      </c>
      <c r="L60" s="10">
        <f t="shared" si="3"/>
        <v>0</v>
      </c>
      <c r="M60" s="12">
        <v>1</v>
      </c>
      <c r="N60" s="12">
        <f t="shared" si="5"/>
        <v>0</v>
      </c>
      <c r="O60" s="5"/>
      <c r="P60" s="5"/>
    </row>
    <row r="61" spans="2:16" ht="30" customHeight="1" x14ac:dyDescent="0.25">
      <c r="B61" s="1"/>
      <c r="C61" s="2"/>
      <c r="D61" s="2"/>
      <c r="E61" s="2"/>
      <c r="F61" s="69"/>
      <c r="G61" s="70"/>
      <c r="H61" s="2"/>
      <c r="I61" s="8">
        <v>0</v>
      </c>
      <c r="J61" s="8">
        <v>0</v>
      </c>
      <c r="K61" s="4">
        <v>0</v>
      </c>
      <c r="L61" s="10">
        <f t="shared" si="3"/>
        <v>0</v>
      </c>
      <c r="M61" s="12">
        <v>1</v>
      </c>
      <c r="N61" s="12">
        <f t="shared" si="5"/>
        <v>0</v>
      </c>
      <c r="O61" s="5"/>
      <c r="P61" s="5"/>
    </row>
    <row r="62" spans="2:16" ht="30" customHeight="1" x14ac:dyDescent="0.25">
      <c r="B62" s="1"/>
      <c r="C62" s="2"/>
      <c r="D62" s="2"/>
      <c r="E62" s="2"/>
      <c r="F62" s="69"/>
      <c r="G62" s="70"/>
      <c r="H62" s="2"/>
      <c r="I62" s="8">
        <v>0</v>
      </c>
      <c r="J62" s="8">
        <v>0</v>
      </c>
      <c r="K62" s="4">
        <v>0</v>
      </c>
      <c r="L62" s="10">
        <f t="shared" si="3"/>
        <v>0</v>
      </c>
      <c r="M62" s="12">
        <v>1</v>
      </c>
      <c r="N62" s="12">
        <f t="shared" si="5"/>
        <v>0</v>
      </c>
      <c r="O62" s="5"/>
      <c r="P62" s="5"/>
    </row>
    <row r="63" spans="2:16" ht="30" customHeight="1" x14ac:dyDescent="0.25">
      <c r="B63" s="1"/>
      <c r="C63" s="2"/>
      <c r="D63" s="2"/>
      <c r="E63" s="2"/>
      <c r="F63" s="69"/>
      <c r="G63" s="70"/>
      <c r="H63" s="2"/>
      <c r="I63" s="8">
        <v>0</v>
      </c>
      <c r="J63" s="8">
        <v>0</v>
      </c>
      <c r="K63" s="4">
        <v>0</v>
      </c>
      <c r="L63" s="10">
        <f t="shared" si="3"/>
        <v>0</v>
      </c>
      <c r="M63" s="12">
        <v>1</v>
      </c>
      <c r="N63" s="12">
        <f t="shared" si="5"/>
        <v>0</v>
      </c>
      <c r="O63" s="5"/>
      <c r="P63" s="5"/>
    </row>
    <row r="64" spans="2:16" ht="30" customHeight="1" x14ac:dyDescent="0.25">
      <c r="B64" s="1"/>
      <c r="C64" s="2"/>
      <c r="D64" s="2"/>
      <c r="E64" s="2"/>
      <c r="F64" s="69"/>
      <c r="G64" s="70"/>
      <c r="H64" s="2"/>
      <c r="I64" s="8">
        <v>0</v>
      </c>
      <c r="J64" s="8">
        <v>0</v>
      </c>
      <c r="K64" s="4">
        <v>0</v>
      </c>
      <c r="L64" s="10">
        <f t="shared" si="3"/>
        <v>0</v>
      </c>
      <c r="M64" s="12">
        <v>1</v>
      </c>
      <c r="N64" s="12">
        <f t="shared" si="5"/>
        <v>0</v>
      </c>
      <c r="O64" s="5"/>
      <c r="P64" s="5"/>
    </row>
    <row r="65" spans="2:16" ht="30" customHeight="1" x14ac:dyDescent="0.25">
      <c r="B65" s="1"/>
      <c r="C65" s="2"/>
      <c r="D65" s="2"/>
      <c r="E65" s="2"/>
      <c r="F65" s="69"/>
      <c r="G65" s="70"/>
      <c r="H65" s="2"/>
      <c r="I65" s="8">
        <v>0</v>
      </c>
      <c r="J65" s="8">
        <v>0</v>
      </c>
      <c r="K65" s="4">
        <v>0</v>
      </c>
      <c r="L65" s="10">
        <f t="shared" si="3"/>
        <v>0</v>
      </c>
      <c r="M65" s="12">
        <v>1</v>
      </c>
      <c r="N65" s="12">
        <f t="shared" si="5"/>
        <v>0</v>
      </c>
      <c r="O65" s="5"/>
      <c r="P65" s="5"/>
    </row>
    <row r="66" spans="2:16" ht="30" customHeight="1" x14ac:dyDescent="0.25">
      <c r="B66" s="1"/>
      <c r="C66" s="2"/>
      <c r="D66" s="2"/>
      <c r="E66" s="2"/>
      <c r="F66" s="69"/>
      <c r="G66" s="70"/>
      <c r="H66" s="2"/>
      <c r="I66" s="8">
        <v>0</v>
      </c>
      <c r="J66" s="8">
        <v>0</v>
      </c>
      <c r="K66" s="4">
        <v>0</v>
      </c>
      <c r="L66" s="10">
        <f t="shared" si="3"/>
        <v>0</v>
      </c>
      <c r="M66" s="12">
        <v>1</v>
      </c>
      <c r="N66" s="12">
        <f t="shared" si="5"/>
        <v>0</v>
      </c>
      <c r="O66" s="5"/>
      <c r="P66" s="5"/>
    </row>
    <row r="67" spans="2:16" ht="30" customHeight="1" x14ac:dyDescent="0.25">
      <c r="B67" s="1"/>
      <c r="C67" s="2"/>
      <c r="D67" s="2"/>
      <c r="E67" s="2"/>
      <c r="F67" s="69"/>
      <c r="G67" s="70"/>
      <c r="H67" s="2"/>
      <c r="I67" s="8">
        <v>0</v>
      </c>
      <c r="J67" s="8">
        <v>0</v>
      </c>
      <c r="K67" s="4">
        <v>0</v>
      </c>
      <c r="L67" s="10">
        <f t="shared" si="3"/>
        <v>0</v>
      </c>
      <c r="M67" s="12">
        <v>1</v>
      </c>
      <c r="N67" s="12">
        <f t="shared" si="5"/>
        <v>0</v>
      </c>
      <c r="O67" s="5"/>
      <c r="P67" s="5"/>
    </row>
    <row r="68" spans="2:16" ht="30" customHeight="1" x14ac:dyDescent="0.25">
      <c r="B68" s="1"/>
      <c r="C68" s="2"/>
      <c r="D68" s="2"/>
      <c r="E68" s="2"/>
      <c r="F68" s="69"/>
      <c r="G68" s="70"/>
      <c r="H68" s="2"/>
      <c r="I68" s="8">
        <v>0</v>
      </c>
      <c r="J68" s="8">
        <v>0</v>
      </c>
      <c r="K68" s="4">
        <v>0</v>
      </c>
      <c r="L68" s="10">
        <f t="shared" si="3"/>
        <v>0</v>
      </c>
      <c r="M68" s="12">
        <v>1</v>
      </c>
      <c r="N68" s="12">
        <f t="shared" si="5"/>
        <v>0</v>
      </c>
      <c r="O68" s="5"/>
      <c r="P68" s="5"/>
    </row>
    <row r="69" spans="2:16" ht="30" customHeight="1" x14ac:dyDescent="0.25">
      <c r="B69" s="1"/>
      <c r="C69" s="2"/>
      <c r="D69" s="2"/>
      <c r="E69" s="2"/>
      <c r="F69" s="69"/>
      <c r="G69" s="70"/>
      <c r="H69" s="2"/>
      <c r="I69" s="8">
        <v>0</v>
      </c>
      <c r="J69" s="8">
        <v>0</v>
      </c>
      <c r="K69" s="4">
        <v>0</v>
      </c>
      <c r="L69" s="10">
        <f t="shared" si="3"/>
        <v>0</v>
      </c>
      <c r="M69" s="12">
        <v>1</v>
      </c>
      <c r="N69" s="12">
        <f t="shared" si="5"/>
        <v>0</v>
      </c>
      <c r="O69" s="5"/>
      <c r="P69" s="5"/>
    </row>
    <row r="70" spans="2:16" ht="30" customHeight="1" x14ac:dyDescent="0.25">
      <c r="B70" s="1"/>
      <c r="C70" s="2"/>
      <c r="D70" s="2"/>
      <c r="E70" s="2"/>
      <c r="F70" s="69"/>
      <c r="G70" s="70"/>
      <c r="H70" s="2"/>
      <c r="I70" s="8">
        <v>0</v>
      </c>
      <c r="J70" s="8">
        <v>0</v>
      </c>
      <c r="K70" s="4">
        <v>0</v>
      </c>
      <c r="L70" s="10">
        <f t="shared" si="3"/>
        <v>0</v>
      </c>
      <c r="M70" s="12">
        <v>1</v>
      </c>
      <c r="N70" s="12">
        <f t="shared" si="5"/>
        <v>0</v>
      </c>
      <c r="O70" s="5"/>
      <c r="P70" s="5"/>
    </row>
    <row r="71" spans="2:16" ht="30" customHeight="1" x14ac:dyDescent="0.25">
      <c r="B71" s="1"/>
      <c r="C71" s="2"/>
      <c r="D71" s="2"/>
      <c r="E71" s="2"/>
      <c r="F71" s="69"/>
      <c r="G71" s="70"/>
      <c r="H71" s="2"/>
      <c r="I71" s="8">
        <v>0</v>
      </c>
      <c r="J71" s="8">
        <v>0</v>
      </c>
      <c r="K71" s="4">
        <v>0</v>
      </c>
      <c r="L71" s="10">
        <f t="shared" si="3"/>
        <v>0</v>
      </c>
      <c r="M71" s="12">
        <v>1</v>
      </c>
      <c r="N71" s="12">
        <f t="shared" si="5"/>
        <v>0</v>
      </c>
      <c r="O71" s="5"/>
      <c r="P71" s="5"/>
    </row>
    <row r="72" spans="2:16" ht="30" customHeight="1" x14ac:dyDescent="0.25">
      <c r="B72" s="1"/>
      <c r="C72" s="2"/>
      <c r="D72" s="2"/>
      <c r="E72" s="2"/>
      <c r="F72" s="69"/>
      <c r="G72" s="70"/>
      <c r="H72" s="2"/>
      <c r="I72" s="8">
        <v>0</v>
      </c>
      <c r="J72" s="8">
        <v>0</v>
      </c>
      <c r="K72" s="4">
        <v>0</v>
      </c>
      <c r="L72" s="10">
        <f t="shared" si="3"/>
        <v>0</v>
      </c>
      <c r="M72" s="12">
        <v>1</v>
      </c>
      <c r="N72" s="12">
        <f t="shared" si="5"/>
        <v>0</v>
      </c>
      <c r="O72" s="5"/>
      <c r="P72" s="5"/>
    </row>
    <row r="73" spans="2:16" ht="30" customHeight="1" x14ac:dyDescent="0.25">
      <c r="B73" s="1"/>
      <c r="C73" s="2"/>
      <c r="D73" s="2"/>
      <c r="E73" s="2"/>
      <c r="F73" s="69"/>
      <c r="G73" s="70"/>
      <c r="H73" s="2"/>
      <c r="I73" s="8">
        <v>0</v>
      </c>
      <c r="J73" s="8">
        <v>0</v>
      </c>
      <c r="K73" s="4">
        <v>0</v>
      </c>
      <c r="L73" s="10">
        <f t="shared" si="3"/>
        <v>0</v>
      </c>
      <c r="M73" s="12">
        <v>1</v>
      </c>
      <c r="N73" s="12">
        <f t="shared" si="5"/>
        <v>0</v>
      </c>
      <c r="O73" s="5"/>
      <c r="P73" s="5"/>
    </row>
    <row r="74" spans="2:16" ht="30" customHeight="1" x14ac:dyDescent="0.25">
      <c r="B74" s="1"/>
      <c r="C74" s="2"/>
      <c r="D74" s="2"/>
      <c r="E74" s="2"/>
      <c r="F74" s="69"/>
      <c r="G74" s="70"/>
      <c r="H74" s="2"/>
      <c r="I74" s="8">
        <v>0</v>
      </c>
      <c r="J74" s="8">
        <v>0</v>
      </c>
      <c r="K74" s="4">
        <v>0</v>
      </c>
      <c r="L74" s="10">
        <f t="shared" si="3"/>
        <v>0</v>
      </c>
      <c r="M74" s="3"/>
      <c r="N74" s="3"/>
      <c r="O74" s="5"/>
      <c r="P74" s="5"/>
    </row>
    <row r="75" spans="2:16" ht="30" customHeight="1" x14ac:dyDescent="0.25">
      <c r="B75" s="1"/>
      <c r="C75" s="2"/>
      <c r="D75" s="2"/>
      <c r="E75" s="2"/>
      <c r="F75" s="69"/>
      <c r="G75" s="70"/>
      <c r="H75" s="2"/>
      <c r="I75" s="8">
        <v>0</v>
      </c>
      <c r="J75" s="8">
        <v>0</v>
      </c>
      <c r="K75" s="4">
        <v>0</v>
      </c>
      <c r="L75" s="10">
        <f t="shared" si="3"/>
        <v>0</v>
      </c>
      <c r="M75" s="3"/>
      <c r="N75" s="3"/>
      <c r="O75" s="5"/>
      <c r="P75" s="5"/>
    </row>
    <row r="76" spans="2:16" ht="30" customHeight="1" x14ac:dyDescent="0.25">
      <c r="B76" s="1"/>
      <c r="C76" s="2"/>
      <c r="D76" s="2"/>
      <c r="E76" s="2"/>
      <c r="F76" s="69"/>
      <c r="G76" s="70"/>
      <c r="H76" s="2"/>
      <c r="I76" s="8">
        <v>0</v>
      </c>
      <c r="J76" s="8">
        <v>0</v>
      </c>
      <c r="K76" s="4">
        <v>0</v>
      </c>
      <c r="L76" s="10">
        <f t="shared" si="3"/>
        <v>0</v>
      </c>
      <c r="M76" s="3"/>
      <c r="N76" s="3"/>
      <c r="O76" s="5"/>
      <c r="P76" s="5"/>
    </row>
    <row r="77" spans="2:16" ht="30" customHeight="1" x14ac:dyDescent="0.25">
      <c r="B77" s="1"/>
      <c r="C77" s="2"/>
      <c r="D77" s="2"/>
      <c r="E77" s="2"/>
      <c r="F77" s="69"/>
      <c r="G77" s="70"/>
      <c r="H77" s="2"/>
      <c r="I77" s="8">
        <v>0</v>
      </c>
      <c r="J77" s="8">
        <v>0</v>
      </c>
      <c r="K77" s="4">
        <v>0</v>
      </c>
      <c r="L77" s="10">
        <f t="shared" si="3"/>
        <v>0</v>
      </c>
      <c r="M77" s="3"/>
      <c r="N77" s="3"/>
      <c r="O77" s="5"/>
      <c r="P77" s="5"/>
    </row>
    <row r="78" spans="2:16" ht="30" customHeight="1" x14ac:dyDescent="0.25">
      <c r="B78" s="1"/>
      <c r="C78" s="2"/>
      <c r="D78" s="2"/>
      <c r="E78" s="2"/>
      <c r="F78" s="69"/>
      <c r="G78" s="70"/>
      <c r="H78" s="2"/>
      <c r="I78" s="8">
        <v>0</v>
      </c>
      <c r="J78" s="8">
        <v>0</v>
      </c>
      <c r="K78" s="4">
        <v>0</v>
      </c>
      <c r="L78" s="10">
        <f t="shared" si="3"/>
        <v>0</v>
      </c>
      <c r="M78" s="3"/>
      <c r="N78" s="3"/>
      <c r="O78" s="5"/>
      <c r="P78" s="5"/>
    </row>
    <row r="79" spans="2:16" ht="30" customHeight="1" x14ac:dyDescent="0.25">
      <c r="B79" s="1"/>
      <c r="C79" s="2"/>
      <c r="D79" s="2"/>
      <c r="E79" s="2"/>
      <c r="F79" s="69"/>
      <c r="G79" s="70"/>
      <c r="H79" s="2"/>
      <c r="I79" s="8">
        <v>0</v>
      </c>
      <c r="J79" s="8">
        <v>0</v>
      </c>
      <c r="K79" s="4">
        <v>0</v>
      </c>
      <c r="L79" s="10">
        <f t="shared" si="3"/>
        <v>0</v>
      </c>
      <c r="M79" s="3"/>
      <c r="N79" s="3"/>
      <c r="O79" s="5"/>
      <c r="P79" s="5"/>
    </row>
    <row r="80" spans="2:16" ht="30" customHeight="1" x14ac:dyDescent="0.25">
      <c r="B80" s="1"/>
      <c r="C80" s="2"/>
      <c r="D80" s="2"/>
      <c r="E80" s="2"/>
      <c r="F80" s="69"/>
      <c r="G80" s="70"/>
      <c r="H80" s="2"/>
      <c r="I80" s="8">
        <v>0</v>
      </c>
      <c r="J80" s="8">
        <v>0</v>
      </c>
      <c r="K80" s="4">
        <v>0</v>
      </c>
      <c r="L80" s="10">
        <f t="shared" si="3"/>
        <v>0</v>
      </c>
      <c r="M80" s="3"/>
      <c r="N80" s="3"/>
      <c r="O80" s="5"/>
      <c r="P80" s="5"/>
    </row>
  </sheetData>
  <mergeCells count="99">
    <mergeCell ref="F78:G78"/>
    <mergeCell ref="F79:G79"/>
    <mergeCell ref="F80:G80"/>
    <mergeCell ref="O10:O16"/>
    <mergeCell ref="F72:G72"/>
    <mergeCell ref="F73:G73"/>
    <mergeCell ref="F74:G74"/>
    <mergeCell ref="F75:G75"/>
    <mergeCell ref="F76:G76"/>
    <mergeCell ref="F67:G67"/>
    <mergeCell ref="F68:G68"/>
    <mergeCell ref="F69:G69"/>
    <mergeCell ref="F70:G70"/>
    <mergeCell ref="F71:G71"/>
    <mergeCell ref="F64:G64"/>
    <mergeCell ref="F65:G65"/>
    <mergeCell ref="F66:G66"/>
    <mergeCell ref="P10:P16"/>
    <mergeCell ref="F77:G77"/>
    <mergeCell ref="F59:G59"/>
    <mergeCell ref="F60:G60"/>
    <mergeCell ref="F61:G61"/>
    <mergeCell ref="F62:G62"/>
    <mergeCell ref="F63:G63"/>
    <mergeCell ref="F54:G54"/>
    <mergeCell ref="F55:G55"/>
    <mergeCell ref="F56:G56"/>
    <mergeCell ref="F57:G57"/>
    <mergeCell ref="F58:G58"/>
    <mergeCell ref="F49:G49"/>
    <mergeCell ref="F50:G50"/>
    <mergeCell ref="F51:G51"/>
    <mergeCell ref="F52:G52"/>
    <mergeCell ref="F53:G53"/>
    <mergeCell ref="F44:G44"/>
    <mergeCell ref="F45:G45"/>
    <mergeCell ref="F46:G46"/>
    <mergeCell ref="F47:G47"/>
    <mergeCell ref="F48:G48"/>
    <mergeCell ref="F21:G21"/>
    <mergeCell ref="F39:G39"/>
    <mergeCell ref="F41:G41"/>
    <mergeCell ref="F42:G42"/>
    <mergeCell ref="F43:G43"/>
    <mergeCell ref="F28:G28"/>
    <mergeCell ref="F31:G31"/>
    <mergeCell ref="F32:G32"/>
    <mergeCell ref="F33:G33"/>
    <mergeCell ref="F34:G34"/>
    <mergeCell ref="F35:G35"/>
    <mergeCell ref="F36:G36"/>
    <mergeCell ref="F37:G37"/>
    <mergeCell ref="F38:G38"/>
    <mergeCell ref="F29:G29"/>
    <mergeCell ref="F16:G16"/>
    <mergeCell ref="F17:G17"/>
    <mergeCell ref="F18:G18"/>
    <mergeCell ref="F19:G19"/>
    <mergeCell ref="F20:G20"/>
    <mergeCell ref="O4:P4"/>
    <mergeCell ref="B4:N4"/>
    <mergeCell ref="F12:G12"/>
    <mergeCell ref="B7:B16"/>
    <mergeCell ref="H5:H6"/>
    <mergeCell ref="I5:K5"/>
    <mergeCell ref="L5:N5"/>
    <mergeCell ref="O5:O6"/>
    <mergeCell ref="P5:P6"/>
    <mergeCell ref="B5:B6"/>
    <mergeCell ref="C5:C6"/>
    <mergeCell ref="D5:D6"/>
    <mergeCell ref="E5:E6"/>
    <mergeCell ref="F5:G6"/>
    <mergeCell ref="F14:G14"/>
    <mergeCell ref="F15:G15"/>
    <mergeCell ref="F13:G13"/>
    <mergeCell ref="F11:G11"/>
    <mergeCell ref="F7:G7"/>
    <mergeCell ref="F8:G8"/>
    <mergeCell ref="F9:G9"/>
    <mergeCell ref="F10:G10"/>
    <mergeCell ref="O1:P1"/>
    <mergeCell ref="O2:P2"/>
    <mergeCell ref="O3:P3"/>
    <mergeCell ref="I3:N3"/>
    <mergeCell ref="B3:H3"/>
    <mergeCell ref="B1:C2"/>
    <mergeCell ref="D1:N2"/>
    <mergeCell ref="B31:B37"/>
    <mergeCell ref="F40:G40"/>
    <mergeCell ref="B38:B42"/>
    <mergeCell ref="F22:G22"/>
    <mergeCell ref="F23:G23"/>
    <mergeCell ref="F24:G24"/>
    <mergeCell ref="F25:G25"/>
    <mergeCell ref="F26:G26"/>
    <mergeCell ref="F27:G27"/>
    <mergeCell ref="F30:G30"/>
    <mergeCell ref="B22:B30"/>
  </mergeCells>
  <phoneticPr fontId="6" type="noConversion"/>
  <pageMargins left="0.19685039370078741" right="0" top="0.19685039370078741" bottom="0" header="0" footer="0"/>
  <pageSetup paperSize="9" scale="6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A278C-D650-4530-AB36-30EFF358B727}">
  <sheetPr>
    <pageSetUpPr fitToPage="1"/>
  </sheetPr>
  <dimension ref="B1:P15"/>
  <sheetViews>
    <sheetView topLeftCell="A5" zoomScale="120" zoomScaleNormal="120" workbookViewId="0">
      <selection activeCell="A7" sqref="A7:XFD15"/>
    </sheetView>
  </sheetViews>
  <sheetFormatPr baseColWidth="10" defaultColWidth="8.88671875" defaultRowHeight="13.2" x14ac:dyDescent="0.25"/>
  <cols>
    <col min="1" max="1" width="2.109375" customWidth="1"/>
    <col min="2" max="2" width="11.77734375" customWidth="1"/>
    <col min="3" max="3" width="17.5546875" customWidth="1"/>
    <col min="4" max="4" width="17.6640625" customWidth="1"/>
    <col min="5" max="5" width="15.21875" customWidth="1"/>
    <col min="6" max="6" width="14.6640625" customWidth="1"/>
    <col min="7" max="7" width="16" customWidth="1"/>
    <col min="8" max="8" width="28.44140625" customWidth="1"/>
    <col min="9" max="10" width="17.109375" customWidth="1"/>
    <col min="11" max="11" width="17.33203125" customWidth="1"/>
    <col min="12" max="12" width="16.33203125" customWidth="1"/>
    <col min="13" max="13" width="13.77734375" customWidth="1"/>
    <col min="14" max="14" width="14.77734375" customWidth="1"/>
    <col min="15" max="15" width="22.44140625" customWidth="1"/>
    <col min="16" max="16" width="17.33203125" customWidth="1"/>
  </cols>
  <sheetData>
    <row r="1" spans="2:16" ht="18" customHeight="1" x14ac:dyDescent="0.25">
      <c r="B1" s="80"/>
      <c r="C1" s="80"/>
      <c r="D1" s="82" t="s">
        <v>18</v>
      </c>
      <c r="E1" s="82"/>
      <c r="F1" s="82"/>
      <c r="G1" s="82"/>
      <c r="H1" s="82"/>
      <c r="I1" s="82"/>
      <c r="J1" s="82"/>
      <c r="K1" s="82"/>
      <c r="L1" s="82"/>
      <c r="M1" s="82"/>
      <c r="N1" s="82"/>
      <c r="O1" s="75" t="s">
        <v>21</v>
      </c>
      <c r="P1" s="76"/>
    </row>
    <row r="2" spans="2:16" ht="19.2" customHeight="1" x14ac:dyDescent="0.25">
      <c r="B2" s="81"/>
      <c r="C2" s="81"/>
      <c r="D2" s="83"/>
      <c r="E2" s="83"/>
      <c r="F2" s="83"/>
      <c r="G2" s="83"/>
      <c r="H2" s="83"/>
      <c r="I2" s="84"/>
      <c r="J2" s="84"/>
      <c r="K2" s="84"/>
      <c r="L2" s="84"/>
      <c r="M2" s="84"/>
      <c r="N2" s="84"/>
      <c r="O2" s="76" t="s">
        <v>0</v>
      </c>
      <c r="P2" s="76"/>
    </row>
    <row r="3" spans="2:16" ht="12.6" customHeight="1" x14ac:dyDescent="0.25">
      <c r="B3" s="79" t="s">
        <v>9</v>
      </c>
      <c r="C3" s="79"/>
      <c r="D3" s="79"/>
      <c r="E3" s="79"/>
      <c r="F3" s="79"/>
      <c r="G3" s="79"/>
      <c r="H3" s="79"/>
      <c r="I3" s="77" t="s">
        <v>10</v>
      </c>
      <c r="J3" s="78"/>
      <c r="K3" s="78"/>
      <c r="L3" s="78"/>
      <c r="M3" s="78"/>
      <c r="N3" s="78"/>
      <c r="O3" s="75" t="s">
        <v>19</v>
      </c>
      <c r="P3" s="76"/>
    </row>
    <row r="4" spans="2:16" ht="10.199999999999999" customHeight="1" x14ac:dyDescent="0.25">
      <c r="B4" s="86" t="s">
        <v>17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75" t="s">
        <v>20</v>
      </c>
      <c r="P4" s="76"/>
    </row>
    <row r="5" spans="2:16" ht="15.45" customHeight="1" x14ac:dyDescent="0.25">
      <c r="B5" s="91" t="s">
        <v>1</v>
      </c>
      <c r="C5" s="91" t="s">
        <v>3</v>
      </c>
      <c r="D5" s="91" t="s">
        <v>4</v>
      </c>
      <c r="E5" s="91" t="s">
        <v>2</v>
      </c>
      <c r="F5" s="100" t="s">
        <v>15</v>
      </c>
      <c r="G5" s="101"/>
      <c r="H5" s="91" t="s">
        <v>22</v>
      </c>
      <c r="I5" s="93" t="s">
        <v>16</v>
      </c>
      <c r="J5" s="94"/>
      <c r="K5" s="95"/>
      <c r="L5" s="96" t="s">
        <v>6</v>
      </c>
      <c r="M5" s="97"/>
      <c r="N5" s="98"/>
      <c r="O5" s="99" t="s">
        <v>5</v>
      </c>
      <c r="P5" s="99" t="s">
        <v>14</v>
      </c>
    </row>
    <row r="6" spans="2:16" ht="25.8" customHeight="1" x14ac:dyDescent="0.25">
      <c r="B6" s="92"/>
      <c r="C6" s="92"/>
      <c r="D6" s="92"/>
      <c r="E6" s="92"/>
      <c r="F6" s="102"/>
      <c r="G6" s="103"/>
      <c r="H6" s="92"/>
      <c r="I6" s="6" t="s">
        <v>7</v>
      </c>
      <c r="J6" s="6" t="s">
        <v>8</v>
      </c>
      <c r="K6" s="6" t="s">
        <v>11</v>
      </c>
      <c r="L6" s="7" t="s">
        <v>13</v>
      </c>
      <c r="M6" s="7" t="s">
        <v>23</v>
      </c>
      <c r="N6" s="7" t="s">
        <v>12</v>
      </c>
      <c r="O6" s="99"/>
      <c r="P6" s="99"/>
    </row>
    <row r="7" spans="2:16" ht="30" customHeight="1" x14ac:dyDescent="0.25">
      <c r="B7" s="1"/>
      <c r="C7" s="2"/>
      <c r="D7" s="2"/>
      <c r="E7" s="2"/>
      <c r="F7" s="85"/>
      <c r="G7" s="85"/>
      <c r="H7" s="2"/>
      <c r="I7" s="8">
        <v>0</v>
      </c>
      <c r="J7" s="8">
        <v>0</v>
      </c>
      <c r="K7" s="4">
        <v>0</v>
      </c>
      <c r="L7" s="11">
        <f>((J7-I7+(J7&lt;I7))*1440)-K7</f>
        <v>0</v>
      </c>
      <c r="M7" s="12">
        <v>1</v>
      </c>
      <c r="N7" s="12">
        <f>L7/M7</f>
        <v>0</v>
      </c>
      <c r="O7" s="5"/>
      <c r="P7" s="5"/>
    </row>
    <row r="8" spans="2:16" ht="30" customHeight="1" x14ac:dyDescent="0.25">
      <c r="B8" s="1"/>
      <c r="C8" s="2"/>
      <c r="D8" s="2"/>
      <c r="E8" s="2"/>
      <c r="F8" s="85"/>
      <c r="G8" s="85"/>
      <c r="H8" s="2"/>
      <c r="I8" s="2"/>
      <c r="J8" s="2"/>
      <c r="K8" s="4"/>
      <c r="L8" s="3"/>
      <c r="M8" s="3"/>
      <c r="N8" s="3"/>
      <c r="O8" s="5"/>
      <c r="P8" s="5"/>
    </row>
    <row r="9" spans="2:16" ht="30" customHeight="1" x14ac:dyDescent="0.25">
      <c r="B9" s="1"/>
      <c r="C9" s="2"/>
      <c r="D9" s="2"/>
      <c r="E9" s="2"/>
      <c r="F9" s="85"/>
      <c r="G9" s="85"/>
      <c r="H9" s="2"/>
      <c r="I9" s="2"/>
      <c r="J9" s="2"/>
      <c r="K9" s="4"/>
      <c r="L9" s="3"/>
      <c r="M9" s="3"/>
      <c r="N9" s="3"/>
      <c r="O9" s="5"/>
      <c r="P9" s="5"/>
    </row>
    <row r="10" spans="2:16" ht="30" customHeight="1" x14ac:dyDescent="0.25">
      <c r="B10" s="1"/>
      <c r="C10" s="2"/>
      <c r="D10" s="2"/>
      <c r="E10" s="2"/>
      <c r="F10" s="85"/>
      <c r="G10" s="85"/>
      <c r="H10" s="2"/>
      <c r="I10" s="2"/>
      <c r="J10" s="2"/>
      <c r="K10" s="4"/>
      <c r="L10" s="3"/>
      <c r="M10" s="3"/>
      <c r="N10" s="3"/>
      <c r="O10" s="5"/>
      <c r="P10" s="5"/>
    </row>
    <row r="11" spans="2:16" ht="30" customHeight="1" x14ac:dyDescent="0.25">
      <c r="B11" s="1"/>
      <c r="C11" s="2"/>
      <c r="D11" s="2"/>
      <c r="E11" s="2"/>
      <c r="F11" s="85"/>
      <c r="G11" s="85"/>
      <c r="H11" s="2"/>
      <c r="I11" s="2"/>
      <c r="J11" s="2"/>
      <c r="K11" s="4"/>
      <c r="L11" s="3"/>
      <c r="M11" s="3"/>
      <c r="N11" s="3"/>
      <c r="O11" s="5"/>
      <c r="P11" s="5"/>
    </row>
    <row r="12" spans="2:16" ht="30" customHeight="1" x14ac:dyDescent="0.25">
      <c r="B12" s="1"/>
      <c r="C12" s="2"/>
      <c r="D12" s="2"/>
      <c r="E12" s="2"/>
      <c r="F12" s="85"/>
      <c r="G12" s="85"/>
      <c r="H12" s="2"/>
      <c r="I12" s="2"/>
      <c r="J12" s="2"/>
      <c r="K12" s="4"/>
      <c r="L12" s="3"/>
      <c r="M12" s="3"/>
      <c r="N12" s="3"/>
      <c r="O12" s="5"/>
      <c r="P12" s="5"/>
    </row>
    <row r="13" spans="2:16" ht="30" customHeight="1" x14ac:dyDescent="0.25">
      <c r="B13" s="1"/>
      <c r="C13" s="2"/>
      <c r="D13" s="2"/>
      <c r="E13" s="2"/>
      <c r="F13" s="69"/>
      <c r="G13" s="70"/>
      <c r="H13" s="2"/>
      <c r="I13" s="2"/>
      <c r="J13" s="2"/>
      <c r="K13" s="4"/>
      <c r="L13" s="3"/>
      <c r="M13" s="3"/>
      <c r="N13" s="3"/>
      <c r="O13" s="5"/>
      <c r="P13" s="5"/>
    </row>
    <row r="14" spans="2:16" ht="30" customHeight="1" x14ac:dyDescent="0.25">
      <c r="B14" s="1"/>
      <c r="C14" s="2"/>
      <c r="D14" s="2"/>
      <c r="E14" s="2"/>
      <c r="F14" s="69"/>
      <c r="G14" s="70"/>
      <c r="H14" s="2"/>
      <c r="I14" s="2"/>
      <c r="J14" s="2"/>
      <c r="K14" s="4"/>
      <c r="L14" s="3"/>
      <c r="M14" s="3"/>
      <c r="N14" s="3"/>
      <c r="O14" s="5"/>
      <c r="P14" s="5"/>
    </row>
    <row r="15" spans="2:16" ht="30" customHeight="1" x14ac:dyDescent="0.25">
      <c r="B15" s="1"/>
      <c r="C15" s="2"/>
      <c r="D15" s="2"/>
      <c r="E15" s="2"/>
      <c r="F15" s="69"/>
      <c r="G15" s="70"/>
      <c r="H15" s="2"/>
      <c r="I15" s="2"/>
      <c r="J15" s="2"/>
      <c r="K15" s="4"/>
      <c r="L15" s="3"/>
      <c r="M15" s="3"/>
      <c r="N15" s="3"/>
      <c r="O15" s="5"/>
      <c r="P15" s="5"/>
    </row>
  </sheetData>
  <mergeCells count="28">
    <mergeCell ref="F14:G14"/>
    <mergeCell ref="F15:G15"/>
    <mergeCell ref="F11:G11"/>
    <mergeCell ref="F12:G12"/>
    <mergeCell ref="F13:G13"/>
    <mergeCell ref="F10:G10"/>
    <mergeCell ref="B4:N4"/>
    <mergeCell ref="O4:P4"/>
    <mergeCell ref="B5:B6"/>
    <mergeCell ref="C5:C6"/>
    <mergeCell ref="D5:D6"/>
    <mergeCell ref="E5:E6"/>
    <mergeCell ref="F5:G6"/>
    <mergeCell ref="H5:H6"/>
    <mergeCell ref="I5:K5"/>
    <mergeCell ref="L5:N5"/>
    <mergeCell ref="O5:O6"/>
    <mergeCell ref="P5:P6"/>
    <mergeCell ref="F7:G7"/>
    <mergeCell ref="F8:G8"/>
    <mergeCell ref="F9:G9"/>
    <mergeCell ref="B1:C2"/>
    <mergeCell ref="D1:N2"/>
    <mergeCell ref="O1:P1"/>
    <mergeCell ref="O2:P2"/>
    <mergeCell ref="B3:H3"/>
    <mergeCell ref="I3:N3"/>
    <mergeCell ref="O3:P3"/>
  </mergeCells>
  <pageMargins left="0.19685039370078741" right="0" top="0.19685039370078741" bottom="0" header="0" footer="0"/>
  <pageSetup paperSize="9" scale="6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ACA4-A63A-42C8-9878-AA7C40B51B92}">
  <sheetPr>
    <pageSetUpPr fitToPage="1"/>
  </sheetPr>
  <dimension ref="B1:Q47"/>
  <sheetViews>
    <sheetView topLeftCell="A14" zoomScale="120" zoomScaleNormal="120" workbookViewId="0">
      <selection activeCell="B24" sqref="B24"/>
    </sheetView>
  </sheetViews>
  <sheetFormatPr baseColWidth="10" defaultColWidth="8.88671875" defaultRowHeight="13.2" x14ac:dyDescent="0.25"/>
  <cols>
    <col min="1" max="1" width="2.109375" customWidth="1"/>
    <col min="2" max="2" width="11.77734375" customWidth="1"/>
    <col min="3" max="3" width="17.5546875" customWidth="1"/>
    <col min="4" max="4" width="17.6640625" customWidth="1"/>
    <col min="5" max="5" width="15.21875" customWidth="1"/>
    <col min="6" max="6" width="14.6640625" customWidth="1"/>
    <col min="7" max="7" width="16" customWidth="1"/>
    <col min="8" max="8" width="28.44140625" customWidth="1"/>
    <col min="9" max="10" width="17.109375" customWidth="1"/>
    <col min="11" max="11" width="17.33203125" customWidth="1"/>
    <col min="12" max="12" width="16.33203125" customWidth="1"/>
    <col min="13" max="13" width="13.77734375" customWidth="1"/>
    <col min="14" max="14" width="14.77734375" customWidth="1"/>
    <col min="15" max="15" width="22.44140625" customWidth="1"/>
    <col min="16" max="16" width="17.33203125" customWidth="1"/>
  </cols>
  <sheetData>
    <row r="1" spans="2:17" ht="18" customHeight="1" x14ac:dyDescent="0.25">
      <c r="B1" s="80"/>
      <c r="C1" s="80"/>
      <c r="D1" s="82" t="s">
        <v>18</v>
      </c>
      <c r="E1" s="82"/>
      <c r="F1" s="82"/>
      <c r="G1" s="82"/>
      <c r="H1" s="82"/>
      <c r="I1" s="82"/>
      <c r="J1" s="82"/>
      <c r="K1" s="82"/>
      <c r="L1" s="82"/>
      <c r="M1" s="82"/>
      <c r="N1" s="82"/>
      <c r="O1" s="75" t="s">
        <v>21</v>
      </c>
      <c r="P1" s="76"/>
    </row>
    <row r="2" spans="2:17" ht="19.2" customHeight="1" x14ac:dyDescent="0.25">
      <c r="B2" s="81"/>
      <c r="C2" s="81"/>
      <c r="D2" s="83"/>
      <c r="E2" s="83"/>
      <c r="F2" s="83"/>
      <c r="G2" s="83"/>
      <c r="H2" s="83"/>
      <c r="I2" s="84"/>
      <c r="J2" s="84"/>
      <c r="K2" s="84"/>
      <c r="L2" s="84"/>
      <c r="M2" s="84"/>
      <c r="N2" s="84"/>
      <c r="O2" s="76" t="s">
        <v>0</v>
      </c>
      <c r="P2" s="76"/>
    </row>
    <row r="3" spans="2:17" ht="12.6" customHeight="1" x14ac:dyDescent="0.25">
      <c r="B3" s="79" t="s">
        <v>9</v>
      </c>
      <c r="C3" s="79"/>
      <c r="D3" s="79"/>
      <c r="E3" s="79"/>
      <c r="F3" s="79"/>
      <c r="G3" s="79"/>
      <c r="H3" s="79"/>
      <c r="I3" s="77" t="s">
        <v>10</v>
      </c>
      <c r="J3" s="78"/>
      <c r="K3" s="78"/>
      <c r="L3" s="78"/>
      <c r="M3" s="78"/>
      <c r="N3" s="78"/>
      <c r="O3" s="75" t="s">
        <v>19</v>
      </c>
      <c r="P3" s="76"/>
    </row>
    <row r="4" spans="2:17" ht="10.199999999999999" customHeight="1" x14ac:dyDescent="0.25">
      <c r="B4" s="86" t="s">
        <v>17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75" t="s">
        <v>20</v>
      </c>
      <c r="P4" s="76"/>
    </row>
    <row r="5" spans="2:17" ht="15.45" customHeight="1" x14ac:dyDescent="0.25">
      <c r="B5" s="91" t="s">
        <v>1</v>
      </c>
      <c r="C5" s="91" t="s">
        <v>3</v>
      </c>
      <c r="D5" s="91" t="s">
        <v>4</v>
      </c>
      <c r="E5" s="91" t="s">
        <v>2</v>
      </c>
      <c r="F5" s="100" t="s">
        <v>15</v>
      </c>
      <c r="G5" s="101"/>
      <c r="H5" s="91" t="s">
        <v>22</v>
      </c>
      <c r="I5" s="93" t="s">
        <v>16</v>
      </c>
      <c r="J5" s="94"/>
      <c r="K5" s="95"/>
      <c r="L5" s="96" t="s">
        <v>6</v>
      </c>
      <c r="M5" s="97"/>
      <c r="N5" s="98"/>
      <c r="O5" s="99" t="s">
        <v>5</v>
      </c>
      <c r="P5" s="99" t="s">
        <v>14</v>
      </c>
    </row>
    <row r="6" spans="2:17" ht="25.8" customHeight="1" x14ac:dyDescent="0.25">
      <c r="B6" s="92"/>
      <c r="C6" s="92"/>
      <c r="D6" s="92"/>
      <c r="E6" s="92"/>
      <c r="F6" s="102"/>
      <c r="G6" s="103"/>
      <c r="H6" s="92"/>
      <c r="I6" s="6" t="s">
        <v>7</v>
      </c>
      <c r="J6" s="6" t="s">
        <v>8</v>
      </c>
      <c r="K6" s="6" t="s">
        <v>11</v>
      </c>
      <c r="L6" s="7" t="s">
        <v>13</v>
      </c>
      <c r="M6" s="7" t="s">
        <v>23</v>
      </c>
      <c r="N6" s="7" t="s">
        <v>12</v>
      </c>
      <c r="O6" s="99"/>
      <c r="P6" s="99"/>
    </row>
    <row r="7" spans="2:17" ht="30" customHeight="1" x14ac:dyDescent="0.25">
      <c r="B7" s="88">
        <v>46098</v>
      </c>
      <c r="C7" s="2" t="s">
        <v>32</v>
      </c>
      <c r="D7" s="2" t="s">
        <v>33</v>
      </c>
      <c r="E7" s="2" t="s">
        <v>49</v>
      </c>
      <c r="F7" s="85" t="s">
        <v>48</v>
      </c>
      <c r="G7" s="85"/>
      <c r="H7" s="2">
        <v>8</v>
      </c>
      <c r="I7" s="8">
        <v>0.29166666666666669</v>
      </c>
      <c r="J7" s="8">
        <v>0.60416666666666663</v>
      </c>
      <c r="K7" s="4">
        <v>45</v>
      </c>
      <c r="L7" s="11">
        <f>((J7-I7+(J7&lt;I7))*1440)-K7</f>
        <v>404.99999999999994</v>
      </c>
      <c r="M7" s="12">
        <v>8</v>
      </c>
      <c r="N7" s="12">
        <f>L7/M7</f>
        <v>50.624999999999993</v>
      </c>
      <c r="O7" s="5" t="s">
        <v>51</v>
      </c>
      <c r="P7" s="5"/>
    </row>
    <row r="8" spans="2:17" ht="39" customHeight="1" x14ac:dyDescent="0.25">
      <c r="B8" s="90"/>
      <c r="C8" s="2" t="s">
        <v>47</v>
      </c>
      <c r="D8" s="2" t="s">
        <v>33</v>
      </c>
      <c r="E8" s="2" t="s">
        <v>49</v>
      </c>
      <c r="F8" s="85" t="s">
        <v>50</v>
      </c>
      <c r="G8" s="85"/>
      <c r="H8" s="2">
        <v>1</v>
      </c>
      <c r="I8" s="8">
        <v>0.60416666666666663</v>
      </c>
      <c r="J8" s="8">
        <v>0.66666666666666663</v>
      </c>
      <c r="K8" s="4">
        <v>0</v>
      </c>
      <c r="L8" s="11">
        <f t="shared" ref="L8:L15" si="0">((J8-I8+(J8&lt;I8))*1440)-K8</f>
        <v>90</v>
      </c>
      <c r="M8" s="12">
        <v>1</v>
      </c>
      <c r="N8" s="12">
        <f t="shared" ref="N8:N15" si="1">L8/M8</f>
        <v>90</v>
      </c>
      <c r="O8" s="5" t="s">
        <v>52</v>
      </c>
      <c r="P8" s="5"/>
      <c r="Q8">
        <f>90/60</f>
        <v>1.5</v>
      </c>
    </row>
    <row r="9" spans="2:17" ht="30" customHeight="1" x14ac:dyDescent="0.25">
      <c r="B9" s="1"/>
      <c r="C9" s="2"/>
      <c r="D9" s="2"/>
      <c r="E9" s="2"/>
      <c r="F9" s="85"/>
      <c r="G9" s="85"/>
      <c r="H9" s="2"/>
      <c r="I9" s="8">
        <v>0</v>
      </c>
      <c r="J9" s="8">
        <v>0</v>
      </c>
      <c r="K9" s="4">
        <v>0</v>
      </c>
      <c r="L9" s="11">
        <f t="shared" si="0"/>
        <v>0</v>
      </c>
      <c r="M9" s="12">
        <v>1</v>
      </c>
      <c r="N9" s="12">
        <f t="shared" si="1"/>
        <v>0</v>
      </c>
      <c r="O9" s="5"/>
      <c r="P9" s="5"/>
    </row>
    <row r="10" spans="2:17" ht="30" customHeight="1" x14ac:dyDescent="0.25">
      <c r="B10" s="1"/>
      <c r="C10" s="2"/>
      <c r="D10" s="2"/>
      <c r="E10" s="2"/>
      <c r="F10" s="85"/>
      <c r="G10" s="85"/>
      <c r="H10" s="2"/>
      <c r="I10" s="8">
        <v>0</v>
      </c>
      <c r="J10" s="8">
        <v>0</v>
      </c>
      <c r="K10" s="4">
        <v>0</v>
      </c>
      <c r="L10" s="11">
        <f t="shared" si="0"/>
        <v>0</v>
      </c>
      <c r="M10" s="12">
        <v>1</v>
      </c>
      <c r="N10" s="12">
        <f t="shared" si="1"/>
        <v>0</v>
      </c>
      <c r="O10" s="5"/>
      <c r="P10" s="5"/>
    </row>
    <row r="11" spans="2:17" ht="30" customHeight="1" x14ac:dyDescent="0.25">
      <c r="B11" s="1"/>
      <c r="C11" s="2"/>
      <c r="D11" s="2"/>
      <c r="E11" s="2"/>
      <c r="F11" s="85"/>
      <c r="G11" s="85"/>
      <c r="H11" s="2"/>
      <c r="I11" s="8">
        <v>0</v>
      </c>
      <c r="J11" s="8">
        <v>0</v>
      </c>
      <c r="K11" s="4">
        <v>0</v>
      </c>
      <c r="L11" s="11">
        <f t="shared" si="0"/>
        <v>0</v>
      </c>
      <c r="M11" s="12">
        <v>1</v>
      </c>
      <c r="N11" s="12">
        <f t="shared" si="1"/>
        <v>0</v>
      </c>
      <c r="O11" s="5"/>
      <c r="P11" s="5"/>
    </row>
    <row r="12" spans="2:17" ht="30" customHeight="1" x14ac:dyDescent="0.25">
      <c r="B12" s="1"/>
      <c r="C12" s="2"/>
      <c r="D12" s="2"/>
      <c r="E12" s="2"/>
      <c r="F12" s="85"/>
      <c r="G12" s="85"/>
      <c r="H12" s="2"/>
      <c r="I12" s="8">
        <v>0</v>
      </c>
      <c r="J12" s="8">
        <v>0</v>
      </c>
      <c r="K12" s="4">
        <v>0</v>
      </c>
      <c r="L12" s="11">
        <f t="shared" si="0"/>
        <v>0</v>
      </c>
      <c r="M12" s="12">
        <v>1</v>
      </c>
      <c r="N12" s="12">
        <f t="shared" si="1"/>
        <v>0</v>
      </c>
      <c r="O12" s="5"/>
      <c r="P12" s="5"/>
    </row>
    <row r="13" spans="2:17" ht="30" customHeight="1" x14ac:dyDescent="0.25">
      <c r="B13" s="1"/>
      <c r="C13" s="2"/>
      <c r="D13" s="2"/>
      <c r="E13" s="2"/>
      <c r="F13" s="69"/>
      <c r="G13" s="70"/>
      <c r="H13" s="2"/>
      <c r="I13" s="8">
        <v>0</v>
      </c>
      <c r="J13" s="8">
        <v>0</v>
      </c>
      <c r="K13" s="4">
        <v>0</v>
      </c>
      <c r="L13" s="11">
        <f t="shared" si="0"/>
        <v>0</v>
      </c>
      <c r="M13" s="12">
        <v>1</v>
      </c>
      <c r="N13" s="12">
        <f t="shared" si="1"/>
        <v>0</v>
      </c>
      <c r="O13" s="5"/>
      <c r="P13" s="5"/>
    </row>
    <row r="14" spans="2:17" ht="30" customHeight="1" thickBot="1" x14ac:dyDescent="0.3">
      <c r="B14" s="43"/>
      <c r="C14" s="17"/>
      <c r="D14" s="17"/>
      <c r="E14" s="17"/>
      <c r="F14" s="104"/>
      <c r="G14" s="105"/>
      <c r="H14" s="17"/>
      <c r="I14" s="18">
        <v>0</v>
      </c>
      <c r="J14" s="18">
        <v>0</v>
      </c>
      <c r="K14" s="19">
        <v>0</v>
      </c>
      <c r="L14" s="20">
        <f t="shared" si="0"/>
        <v>0</v>
      </c>
      <c r="M14" s="21">
        <v>1</v>
      </c>
      <c r="N14" s="21">
        <f t="shared" si="1"/>
        <v>0</v>
      </c>
      <c r="O14" s="22"/>
      <c r="P14" s="22"/>
    </row>
    <row r="15" spans="2:17" ht="30" customHeight="1" x14ac:dyDescent="0.25">
      <c r="B15" s="66">
        <v>46108</v>
      </c>
      <c r="C15" s="28" t="s">
        <v>172</v>
      </c>
      <c r="D15" s="28" t="s">
        <v>242</v>
      </c>
      <c r="E15" s="28" t="s">
        <v>243</v>
      </c>
      <c r="F15" s="71" t="s">
        <v>244</v>
      </c>
      <c r="G15" s="72"/>
      <c r="H15" s="28">
        <v>1</v>
      </c>
      <c r="I15" s="30">
        <v>0.29166666666666669</v>
      </c>
      <c r="J15" s="30">
        <v>0.39583333333333331</v>
      </c>
      <c r="K15" s="29">
        <v>0</v>
      </c>
      <c r="L15" s="31">
        <f t="shared" si="0"/>
        <v>149.99999999999994</v>
      </c>
      <c r="M15" s="32">
        <v>1</v>
      </c>
      <c r="N15" s="32">
        <f t="shared" si="1"/>
        <v>149.99999999999994</v>
      </c>
      <c r="O15" s="33"/>
      <c r="P15" s="34"/>
    </row>
    <row r="16" spans="2:17" ht="13.8" x14ac:dyDescent="0.25">
      <c r="B16" s="67"/>
      <c r="C16" s="2" t="s">
        <v>24</v>
      </c>
      <c r="D16" s="2" t="s">
        <v>239</v>
      </c>
      <c r="E16" s="2" t="s">
        <v>240</v>
      </c>
      <c r="F16" s="69" t="s">
        <v>241</v>
      </c>
      <c r="G16" s="70"/>
      <c r="H16" s="2">
        <v>3</v>
      </c>
      <c r="I16" s="8">
        <v>0.39583333333333331</v>
      </c>
      <c r="J16" s="8">
        <v>0.49305555555555558</v>
      </c>
      <c r="K16" s="4">
        <v>10</v>
      </c>
      <c r="L16" s="11">
        <f t="shared" ref="L16:L47" si="2">((J16-I16+(J16&lt;I16))*1440)-K16</f>
        <v>130.00000000000006</v>
      </c>
      <c r="M16" s="12">
        <v>3</v>
      </c>
      <c r="N16" s="12">
        <f t="shared" ref="N16:N47" si="3">L16/M16</f>
        <v>43.33333333333335</v>
      </c>
      <c r="O16" s="5"/>
      <c r="P16" s="35"/>
    </row>
    <row r="17" spans="2:16" ht="28.2" thickBot="1" x14ac:dyDescent="0.3">
      <c r="B17" s="68"/>
      <c r="C17" s="36" t="s">
        <v>24</v>
      </c>
      <c r="D17" s="36" t="s">
        <v>33</v>
      </c>
      <c r="E17" s="36" t="s">
        <v>245</v>
      </c>
      <c r="F17" s="73" t="s">
        <v>246</v>
      </c>
      <c r="G17" s="74"/>
      <c r="H17" s="36">
        <v>1</v>
      </c>
      <c r="I17" s="38">
        <v>0.49305555555555558</v>
      </c>
      <c r="J17" s="38">
        <v>0.66666666666666663</v>
      </c>
      <c r="K17" s="37">
        <f>40+15+5+50</f>
        <v>110</v>
      </c>
      <c r="L17" s="39">
        <f t="shared" si="2"/>
        <v>139.99999999999991</v>
      </c>
      <c r="M17" s="40">
        <v>1</v>
      </c>
      <c r="N17" s="40">
        <f t="shared" si="3"/>
        <v>139.99999999999991</v>
      </c>
      <c r="O17" s="41" t="s">
        <v>247</v>
      </c>
      <c r="P17" s="42"/>
    </row>
    <row r="18" spans="2:16" ht="27.6" x14ac:dyDescent="0.25">
      <c r="B18" s="66">
        <v>46111</v>
      </c>
      <c r="C18" s="28" t="s">
        <v>24</v>
      </c>
      <c r="D18" s="28" t="s">
        <v>33</v>
      </c>
      <c r="E18" s="28" t="s">
        <v>49</v>
      </c>
      <c r="F18" s="71" t="s">
        <v>248</v>
      </c>
      <c r="G18" s="72"/>
      <c r="H18" s="28">
        <v>1</v>
      </c>
      <c r="I18" s="30">
        <v>0.29166666666666669</v>
      </c>
      <c r="J18" s="30">
        <v>0.33333333333333331</v>
      </c>
      <c r="K18" s="29">
        <v>7</v>
      </c>
      <c r="L18" s="31">
        <f t="shared" si="2"/>
        <v>52.999999999999943</v>
      </c>
      <c r="M18" s="32">
        <v>1</v>
      </c>
      <c r="N18" s="32">
        <f t="shared" si="3"/>
        <v>52.999999999999943</v>
      </c>
      <c r="O18" s="33" t="s">
        <v>249</v>
      </c>
      <c r="P18" s="34"/>
    </row>
    <row r="19" spans="2:16" ht="27.6" x14ac:dyDescent="0.25">
      <c r="B19" s="67"/>
      <c r="C19" s="2" t="s">
        <v>32</v>
      </c>
      <c r="D19" s="2" t="s">
        <v>33</v>
      </c>
      <c r="E19" s="2" t="s">
        <v>54</v>
      </c>
      <c r="F19" s="69" t="s">
        <v>250</v>
      </c>
      <c r="G19" s="70"/>
      <c r="H19" s="2">
        <v>2</v>
      </c>
      <c r="I19" s="8">
        <v>0.33333333333333331</v>
      </c>
      <c r="J19" s="8">
        <v>0.60416666666666663</v>
      </c>
      <c r="K19" s="4">
        <v>45</v>
      </c>
      <c r="L19" s="11">
        <f t="shared" si="2"/>
        <v>345</v>
      </c>
      <c r="M19" s="12">
        <v>2</v>
      </c>
      <c r="N19" s="12">
        <f t="shared" si="3"/>
        <v>172.5</v>
      </c>
      <c r="O19" s="5"/>
      <c r="P19" s="35"/>
    </row>
    <row r="20" spans="2:16" ht="14.4" thickBot="1" x14ac:dyDescent="0.3">
      <c r="B20" s="68"/>
      <c r="C20" s="36" t="s">
        <v>69</v>
      </c>
      <c r="D20" s="36" t="s">
        <v>251</v>
      </c>
      <c r="E20" s="36" t="s">
        <v>49</v>
      </c>
      <c r="F20" s="73" t="s">
        <v>252</v>
      </c>
      <c r="G20" s="74"/>
      <c r="H20" s="36">
        <v>4</v>
      </c>
      <c r="I20" s="38">
        <v>0.60416666666666663</v>
      </c>
      <c r="J20" s="38">
        <v>0.66666666666666663</v>
      </c>
      <c r="K20" s="37">
        <f>3+15</f>
        <v>18</v>
      </c>
      <c r="L20" s="39">
        <f t="shared" si="2"/>
        <v>72</v>
      </c>
      <c r="M20" s="40">
        <v>4</v>
      </c>
      <c r="N20" s="40">
        <f t="shared" si="3"/>
        <v>18</v>
      </c>
      <c r="O20" s="41"/>
      <c r="P20" s="42"/>
    </row>
    <row r="21" spans="2:16" ht="13.8" customHeight="1" x14ac:dyDescent="0.25">
      <c r="B21" s="66">
        <v>46112</v>
      </c>
      <c r="C21" s="28" t="s">
        <v>69</v>
      </c>
      <c r="D21" s="28" t="s">
        <v>251</v>
      </c>
      <c r="E21" s="28" t="s">
        <v>49</v>
      </c>
      <c r="F21" s="71" t="s">
        <v>252</v>
      </c>
      <c r="G21" s="72"/>
      <c r="H21" s="28">
        <v>4</v>
      </c>
      <c r="I21" s="30">
        <v>0.29166666666666669</v>
      </c>
      <c r="J21" s="30">
        <v>0.48402777777777778</v>
      </c>
      <c r="K21" s="29">
        <v>0</v>
      </c>
      <c r="L21" s="31">
        <f t="shared" si="2"/>
        <v>277</v>
      </c>
      <c r="M21" s="32">
        <v>1</v>
      </c>
      <c r="N21" s="32">
        <f t="shared" si="3"/>
        <v>277</v>
      </c>
      <c r="O21" s="33"/>
      <c r="P21" s="34"/>
    </row>
    <row r="22" spans="2:16" ht="14.4" thickBot="1" x14ac:dyDescent="0.3">
      <c r="B22" s="68"/>
      <c r="C22" s="36" t="s">
        <v>172</v>
      </c>
      <c r="D22" s="36" t="s">
        <v>46</v>
      </c>
      <c r="E22" s="36" t="s">
        <v>131</v>
      </c>
      <c r="F22" s="73" t="s">
        <v>253</v>
      </c>
      <c r="G22" s="74"/>
      <c r="H22" s="36">
        <v>1</v>
      </c>
      <c r="I22" s="38">
        <v>0.48402777777777778</v>
      </c>
      <c r="J22" s="38">
        <v>0.66666666666666663</v>
      </c>
      <c r="K22" s="37">
        <f>20+40</f>
        <v>60</v>
      </c>
      <c r="L22" s="39">
        <f t="shared" si="2"/>
        <v>202.99999999999994</v>
      </c>
      <c r="M22" s="40">
        <v>1</v>
      </c>
      <c r="N22" s="40">
        <f t="shared" si="3"/>
        <v>202.99999999999994</v>
      </c>
      <c r="O22" s="41"/>
      <c r="P22" s="42"/>
    </row>
    <row r="23" spans="2:16" ht="14.4" thickBot="1" x14ac:dyDescent="0.3">
      <c r="B23" s="53">
        <v>46113</v>
      </c>
      <c r="C23" s="54" t="s">
        <v>120</v>
      </c>
      <c r="D23" s="54" t="s">
        <v>120</v>
      </c>
      <c r="E23" s="54" t="s">
        <v>118</v>
      </c>
      <c r="F23" s="111" t="s">
        <v>254</v>
      </c>
      <c r="G23" s="112"/>
      <c r="H23" s="54">
        <v>1</v>
      </c>
      <c r="I23" s="56">
        <v>0.29166666666666669</v>
      </c>
      <c r="J23" s="56">
        <v>0.66666666666666663</v>
      </c>
      <c r="K23" s="55">
        <v>40</v>
      </c>
      <c r="L23" s="57">
        <f t="shared" si="2"/>
        <v>499.99999999999989</v>
      </c>
      <c r="M23" s="58">
        <v>1</v>
      </c>
      <c r="N23" s="58">
        <f t="shared" si="3"/>
        <v>499.99999999999989</v>
      </c>
      <c r="O23" s="59"/>
      <c r="P23" s="60"/>
    </row>
    <row r="24" spans="2:16" ht="13.8" x14ac:dyDescent="0.25">
      <c r="B24" s="15"/>
      <c r="C24" s="16"/>
      <c r="D24" s="16"/>
      <c r="E24" s="16"/>
      <c r="F24" s="106"/>
      <c r="G24" s="107"/>
      <c r="H24" s="16"/>
      <c r="I24" s="24">
        <v>0</v>
      </c>
      <c r="J24" s="24">
        <v>0</v>
      </c>
      <c r="K24" s="23">
        <v>0</v>
      </c>
      <c r="L24" s="25">
        <f t="shared" si="2"/>
        <v>0</v>
      </c>
      <c r="M24" s="26">
        <v>1</v>
      </c>
      <c r="N24" s="26">
        <f t="shared" si="3"/>
        <v>0</v>
      </c>
      <c r="O24" s="27"/>
      <c r="P24" s="27"/>
    </row>
    <row r="25" spans="2:16" ht="13.8" x14ac:dyDescent="0.25">
      <c r="B25" s="1"/>
      <c r="C25" s="2"/>
      <c r="D25" s="2"/>
      <c r="E25" s="2"/>
      <c r="F25" s="69"/>
      <c r="G25" s="70"/>
      <c r="H25" s="2"/>
      <c r="I25" s="8">
        <v>0</v>
      </c>
      <c r="J25" s="8">
        <v>0</v>
      </c>
      <c r="K25" s="4">
        <v>0</v>
      </c>
      <c r="L25" s="11">
        <f t="shared" si="2"/>
        <v>0</v>
      </c>
      <c r="M25" s="12">
        <v>1</v>
      </c>
      <c r="N25" s="12">
        <f t="shared" si="3"/>
        <v>0</v>
      </c>
      <c r="O25" s="5"/>
      <c r="P25" s="5"/>
    </row>
    <row r="26" spans="2:16" ht="13.8" x14ac:dyDescent="0.25">
      <c r="B26" s="1"/>
      <c r="C26" s="2"/>
      <c r="D26" s="2"/>
      <c r="E26" s="2"/>
      <c r="F26" s="69"/>
      <c r="G26" s="70"/>
      <c r="H26" s="2"/>
      <c r="I26" s="8">
        <v>0</v>
      </c>
      <c r="J26" s="8">
        <v>0</v>
      </c>
      <c r="K26" s="4">
        <v>0</v>
      </c>
      <c r="L26" s="11">
        <f t="shared" si="2"/>
        <v>0</v>
      </c>
      <c r="M26" s="12">
        <v>1</v>
      </c>
      <c r="N26" s="12">
        <f t="shared" si="3"/>
        <v>0</v>
      </c>
      <c r="O26" s="5"/>
      <c r="P26" s="5"/>
    </row>
    <row r="27" spans="2:16" ht="13.8" x14ac:dyDescent="0.25">
      <c r="B27" s="1"/>
      <c r="C27" s="2"/>
      <c r="D27" s="2"/>
      <c r="E27" s="2"/>
      <c r="F27" s="69"/>
      <c r="G27" s="70"/>
      <c r="H27" s="2"/>
      <c r="I27" s="8">
        <v>0</v>
      </c>
      <c r="J27" s="8">
        <v>0</v>
      </c>
      <c r="K27" s="4">
        <v>0</v>
      </c>
      <c r="L27" s="11">
        <f t="shared" si="2"/>
        <v>0</v>
      </c>
      <c r="M27" s="12">
        <v>1</v>
      </c>
      <c r="N27" s="12">
        <f t="shared" si="3"/>
        <v>0</v>
      </c>
      <c r="O27" s="5"/>
      <c r="P27" s="5"/>
    </row>
    <row r="28" spans="2:16" ht="13.8" x14ac:dyDescent="0.25">
      <c r="B28" s="1"/>
      <c r="C28" s="2"/>
      <c r="D28" s="2"/>
      <c r="E28" s="2"/>
      <c r="F28" s="69"/>
      <c r="G28" s="70"/>
      <c r="H28" s="2"/>
      <c r="I28" s="8">
        <v>0</v>
      </c>
      <c r="J28" s="8">
        <v>0</v>
      </c>
      <c r="K28" s="4">
        <v>0</v>
      </c>
      <c r="L28" s="11">
        <f t="shared" si="2"/>
        <v>0</v>
      </c>
      <c r="M28" s="12">
        <v>1</v>
      </c>
      <c r="N28" s="12">
        <f t="shared" si="3"/>
        <v>0</v>
      </c>
      <c r="O28" s="5"/>
      <c r="P28" s="5"/>
    </row>
    <row r="29" spans="2:16" ht="13.8" x14ac:dyDescent="0.25">
      <c r="B29" s="1"/>
      <c r="C29" s="2"/>
      <c r="D29" s="2"/>
      <c r="E29" s="2"/>
      <c r="F29" s="69"/>
      <c r="G29" s="70"/>
      <c r="H29" s="2"/>
      <c r="I29" s="8">
        <v>0</v>
      </c>
      <c r="J29" s="8">
        <v>0</v>
      </c>
      <c r="K29" s="4">
        <v>0</v>
      </c>
      <c r="L29" s="11">
        <f t="shared" si="2"/>
        <v>0</v>
      </c>
      <c r="M29" s="12">
        <v>1</v>
      </c>
      <c r="N29" s="12">
        <f t="shared" si="3"/>
        <v>0</v>
      </c>
      <c r="O29" s="5"/>
      <c r="P29" s="5"/>
    </row>
    <row r="30" spans="2:16" ht="13.8" x14ac:dyDescent="0.25">
      <c r="B30" s="1"/>
      <c r="C30" s="2"/>
      <c r="D30" s="2"/>
      <c r="E30" s="2"/>
      <c r="F30" s="69"/>
      <c r="G30" s="70"/>
      <c r="H30" s="2"/>
      <c r="I30" s="8">
        <v>0</v>
      </c>
      <c r="J30" s="8">
        <v>0</v>
      </c>
      <c r="K30" s="4">
        <v>0</v>
      </c>
      <c r="L30" s="11">
        <f t="shared" si="2"/>
        <v>0</v>
      </c>
      <c r="M30" s="12">
        <v>1</v>
      </c>
      <c r="N30" s="12">
        <f t="shared" si="3"/>
        <v>0</v>
      </c>
      <c r="O30" s="5"/>
      <c r="P30" s="5"/>
    </row>
    <row r="31" spans="2:16" ht="13.8" x14ac:dyDescent="0.25">
      <c r="B31" s="1"/>
      <c r="C31" s="2"/>
      <c r="D31" s="2"/>
      <c r="E31" s="2"/>
      <c r="F31" s="69"/>
      <c r="G31" s="70"/>
      <c r="H31" s="2"/>
      <c r="I31" s="8">
        <v>0</v>
      </c>
      <c r="J31" s="8">
        <v>0</v>
      </c>
      <c r="K31" s="4">
        <v>0</v>
      </c>
      <c r="L31" s="11">
        <f t="shared" si="2"/>
        <v>0</v>
      </c>
      <c r="M31" s="12">
        <v>1</v>
      </c>
      <c r="N31" s="12">
        <f t="shared" si="3"/>
        <v>0</v>
      </c>
      <c r="O31" s="5"/>
      <c r="P31" s="5"/>
    </row>
    <row r="32" spans="2:16" ht="13.8" x14ac:dyDescent="0.25">
      <c r="B32" s="1"/>
      <c r="C32" s="2"/>
      <c r="D32" s="2"/>
      <c r="E32" s="2"/>
      <c r="F32" s="69"/>
      <c r="G32" s="70"/>
      <c r="H32" s="2"/>
      <c r="I32" s="8">
        <v>0</v>
      </c>
      <c r="J32" s="8">
        <v>0</v>
      </c>
      <c r="K32" s="4">
        <v>0</v>
      </c>
      <c r="L32" s="11">
        <f t="shared" si="2"/>
        <v>0</v>
      </c>
      <c r="M32" s="12">
        <v>1</v>
      </c>
      <c r="N32" s="12">
        <f t="shared" si="3"/>
        <v>0</v>
      </c>
      <c r="O32" s="5"/>
      <c r="P32" s="5"/>
    </row>
    <row r="33" spans="2:16" ht="13.8" x14ac:dyDescent="0.25">
      <c r="B33" s="1"/>
      <c r="C33" s="2"/>
      <c r="D33" s="2"/>
      <c r="E33" s="2"/>
      <c r="F33" s="69"/>
      <c r="G33" s="70"/>
      <c r="H33" s="2"/>
      <c r="I33" s="8">
        <v>0</v>
      </c>
      <c r="J33" s="8">
        <v>0</v>
      </c>
      <c r="K33" s="4">
        <v>0</v>
      </c>
      <c r="L33" s="11">
        <f t="shared" si="2"/>
        <v>0</v>
      </c>
      <c r="M33" s="12">
        <v>1</v>
      </c>
      <c r="N33" s="12">
        <f t="shared" si="3"/>
        <v>0</v>
      </c>
      <c r="O33" s="5"/>
      <c r="P33" s="5"/>
    </row>
    <row r="34" spans="2:16" ht="13.8" x14ac:dyDescent="0.25">
      <c r="B34" s="1"/>
      <c r="C34" s="2"/>
      <c r="D34" s="2"/>
      <c r="E34" s="2"/>
      <c r="F34" s="69"/>
      <c r="G34" s="70"/>
      <c r="H34" s="2"/>
      <c r="I34" s="8">
        <v>0</v>
      </c>
      <c r="J34" s="8">
        <v>0</v>
      </c>
      <c r="K34" s="4">
        <v>0</v>
      </c>
      <c r="L34" s="11">
        <f t="shared" si="2"/>
        <v>0</v>
      </c>
      <c r="M34" s="12">
        <v>1</v>
      </c>
      <c r="N34" s="12">
        <f t="shared" si="3"/>
        <v>0</v>
      </c>
      <c r="O34" s="5"/>
      <c r="P34" s="5"/>
    </row>
    <row r="35" spans="2:16" ht="13.8" x14ac:dyDescent="0.25">
      <c r="B35" s="1"/>
      <c r="C35" s="2"/>
      <c r="D35" s="2"/>
      <c r="E35" s="2"/>
      <c r="F35" s="69"/>
      <c r="G35" s="70"/>
      <c r="H35" s="2"/>
      <c r="I35" s="8">
        <v>0</v>
      </c>
      <c r="J35" s="8">
        <v>0</v>
      </c>
      <c r="K35" s="4">
        <v>0</v>
      </c>
      <c r="L35" s="11">
        <f t="shared" si="2"/>
        <v>0</v>
      </c>
      <c r="M35" s="12">
        <v>1</v>
      </c>
      <c r="N35" s="12">
        <f t="shared" si="3"/>
        <v>0</v>
      </c>
      <c r="O35" s="5"/>
      <c r="P35" s="5"/>
    </row>
    <row r="36" spans="2:16" ht="13.8" x14ac:dyDescent="0.25">
      <c r="B36" s="1"/>
      <c r="C36" s="2"/>
      <c r="D36" s="2"/>
      <c r="E36" s="2"/>
      <c r="F36" s="69"/>
      <c r="G36" s="70"/>
      <c r="H36" s="2"/>
      <c r="I36" s="8">
        <v>0</v>
      </c>
      <c r="J36" s="8">
        <v>0</v>
      </c>
      <c r="K36" s="4">
        <v>0</v>
      </c>
      <c r="L36" s="11">
        <f t="shared" si="2"/>
        <v>0</v>
      </c>
      <c r="M36" s="12">
        <v>1</v>
      </c>
      <c r="N36" s="12">
        <f t="shared" si="3"/>
        <v>0</v>
      </c>
      <c r="O36" s="5"/>
      <c r="P36" s="5"/>
    </row>
    <row r="37" spans="2:16" ht="13.8" x14ac:dyDescent="0.25">
      <c r="B37" s="1"/>
      <c r="C37" s="2"/>
      <c r="D37" s="2"/>
      <c r="E37" s="2"/>
      <c r="F37" s="69"/>
      <c r="G37" s="70"/>
      <c r="H37" s="2"/>
      <c r="I37" s="8">
        <v>0</v>
      </c>
      <c r="J37" s="8">
        <v>0</v>
      </c>
      <c r="K37" s="4">
        <v>0</v>
      </c>
      <c r="L37" s="11">
        <f t="shared" si="2"/>
        <v>0</v>
      </c>
      <c r="M37" s="12">
        <v>1</v>
      </c>
      <c r="N37" s="12">
        <f t="shared" si="3"/>
        <v>0</v>
      </c>
      <c r="O37" s="5"/>
      <c r="P37" s="5"/>
    </row>
    <row r="38" spans="2:16" ht="13.8" x14ac:dyDescent="0.25">
      <c r="B38" s="1"/>
      <c r="C38" s="2"/>
      <c r="D38" s="2"/>
      <c r="E38" s="2"/>
      <c r="F38" s="69"/>
      <c r="G38" s="70"/>
      <c r="H38" s="2"/>
      <c r="I38" s="8">
        <v>0</v>
      </c>
      <c r="J38" s="8">
        <v>0</v>
      </c>
      <c r="K38" s="4">
        <v>0</v>
      </c>
      <c r="L38" s="11">
        <f t="shared" si="2"/>
        <v>0</v>
      </c>
      <c r="M38" s="12">
        <v>1</v>
      </c>
      <c r="N38" s="12">
        <f t="shared" si="3"/>
        <v>0</v>
      </c>
      <c r="O38" s="5"/>
      <c r="P38" s="5"/>
    </row>
    <row r="39" spans="2:16" ht="13.8" x14ac:dyDescent="0.25">
      <c r="B39" s="1"/>
      <c r="C39" s="2"/>
      <c r="D39" s="2"/>
      <c r="E39" s="2"/>
      <c r="F39" s="69"/>
      <c r="G39" s="70"/>
      <c r="H39" s="2"/>
      <c r="I39" s="8">
        <v>0</v>
      </c>
      <c r="J39" s="8">
        <v>0</v>
      </c>
      <c r="K39" s="4">
        <v>0</v>
      </c>
      <c r="L39" s="11">
        <f t="shared" si="2"/>
        <v>0</v>
      </c>
      <c r="M39" s="12">
        <v>1</v>
      </c>
      <c r="N39" s="12">
        <f t="shared" si="3"/>
        <v>0</v>
      </c>
      <c r="O39" s="5"/>
      <c r="P39" s="5"/>
    </row>
    <row r="40" spans="2:16" ht="13.8" x14ac:dyDescent="0.25">
      <c r="B40" s="1"/>
      <c r="C40" s="2"/>
      <c r="D40" s="2"/>
      <c r="E40" s="2"/>
      <c r="F40" s="69"/>
      <c r="G40" s="70"/>
      <c r="H40" s="2"/>
      <c r="I40" s="8">
        <v>0</v>
      </c>
      <c r="J40" s="8">
        <v>0</v>
      </c>
      <c r="K40" s="4">
        <v>0</v>
      </c>
      <c r="L40" s="11">
        <f t="shared" si="2"/>
        <v>0</v>
      </c>
      <c r="M40" s="12">
        <v>1</v>
      </c>
      <c r="N40" s="12">
        <f t="shared" si="3"/>
        <v>0</v>
      </c>
      <c r="O40" s="5"/>
      <c r="P40" s="5"/>
    </row>
    <row r="41" spans="2:16" ht="13.8" x14ac:dyDescent="0.25">
      <c r="B41" s="1"/>
      <c r="C41" s="2"/>
      <c r="D41" s="2"/>
      <c r="E41" s="2"/>
      <c r="F41" s="69"/>
      <c r="G41" s="70"/>
      <c r="H41" s="2"/>
      <c r="I41" s="8">
        <v>0</v>
      </c>
      <c r="J41" s="8">
        <v>0</v>
      </c>
      <c r="K41" s="4">
        <v>0</v>
      </c>
      <c r="L41" s="11">
        <f t="shared" si="2"/>
        <v>0</v>
      </c>
      <c r="M41" s="12">
        <v>1</v>
      </c>
      <c r="N41" s="12">
        <f t="shared" si="3"/>
        <v>0</v>
      </c>
      <c r="O41" s="5"/>
      <c r="P41" s="5"/>
    </row>
    <row r="42" spans="2:16" ht="13.8" x14ac:dyDescent="0.25">
      <c r="B42" s="1"/>
      <c r="C42" s="2"/>
      <c r="D42" s="2"/>
      <c r="E42" s="2"/>
      <c r="F42" s="69"/>
      <c r="G42" s="70"/>
      <c r="H42" s="2"/>
      <c r="I42" s="8">
        <v>0</v>
      </c>
      <c r="J42" s="8">
        <v>0</v>
      </c>
      <c r="K42" s="4">
        <v>0</v>
      </c>
      <c r="L42" s="11">
        <f t="shared" si="2"/>
        <v>0</v>
      </c>
      <c r="M42" s="12">
        <v>1</v>
      </c>
      <c r="N42" s="12">
        <f t="shared" si="3"/>
        <v>0</v>
      </c>
      <c r="O42" s="5"/>
      <c r="P42" s="5"/>
    </row>
    <row r="43" spans="2:16" ht="13.8" x14ac:dyDescent="0.25">
      <c r="B43" s="1"/>
      <c r="C43" s="2"/>
      <c r="D43" s="2"/>
      <c r="E43" s="2"/>
      <c r="F43" s="69"/>
      <c r="G43" s="70"/>
      <c r="H43" s="2"/>
      <c r="I43" s="8">
        <v>0</v>
      </c>
      <c r="J43" s="8">
        <v>0</v>
      </c>
      <c r="K43" s="4">
        <v>0</v>
      </c>
      <c r="L43" s="11">
        <f t="shared" si="2"/>
        <v>0</v>
      </c>
      <c r="M43" s="12">
        <v>1</v>
      </c>
      <c r="N43" s="12">
        <f t="shared" si="3"/>
        <v>0</v>
      </c>
      <c r="O43" s="5"/>
      <c r="P43" s="5"/>
    </row>
    <row r="44" spans="2:16" ht="13.8" x14ac:dyDescent="0.25">
      <c r="B44" s="1"/>
      <c r="C44" s="2"/>
      <c r="D44" s="2"/>
      <c r="E44" s="2"/>
      <c r="F44" s="69"/>
      <c r="G44" s="70"/>
      <c r="H44" s="2"/>
      <c r="I44" s="8">
        <v>0</v>
      </c>
      <c r="J44" s="8">
        <v>0</v>
      </c>
      <c r="K44" s="4">
        <v>0</v>
      </c>
      <c r="L44" s="11">
        <f t="shared" si="2"/>
        <v>0</v>
      </c>
      <c r="M44" s="12">
        <v>1</v>
      </c>
      <c r="N44" s="12">
        <f t="shared" si="3"/>
        <v>0</v>
      </c>
      <c r="O44" s="5"/>
      <c r="P44" s="5"/>
    </row>
    <row r="45" spans="2:16" ht="13.8" x14ac:dyDescent="0.25">
      <c r="B45" s="1"/>
      <c r="C45" s="2"/>
      <c r="D45" s="2"/>
      <c r="E45" s="2"/>
      <c r="F45" s="69"/>
      <c r="G45" s="70"/>
      <c r="H45" s="2"/>
      <c r="I45" s="8">
        <v>0</v>
      </c>
      <c r="J45" s="8">
        <v>0</v>
      </c>
      <c r="K45" s="4">
        <v>0</v>
      </c>
      <c r="L45" s="11">
        <f t="shared" si="2"/>
        <v>0</v>
      </c>
      <c r="M45" s="12">
        <v>1</v>
      </c>
      <c r="N45" s="12">
        <f t="shared" si="3"/>
        <v>0</v>
      </c>
      <c r="O45" s="5"/>
      <c r="P45" s="5"/>
    </row>
    <row r="46" spans="2:16" ht="13.8" x14ac:dyDescent="0.25">
      <c r="B46" s="1"/>
      <c r="C46" s="2"/>
      <c r="D46" s="2"/>
      <c r="E46" s="2"/>
      <c r="F46" s="69"/>
      <c r="G46" s="70"/>
      <c r="H46" s="2"/>
      <c r="I46" s="8">
        <v>0</v>
      </c>
      <c r="J46" s="8">
        <v>0</v>
      </c>
      <c r="K46" s="4">
        <v>0</v>
      </c>
      <c r="L46" s="11">
        <f t="shared" si="2"/>
        <v>0</v>
      </c>
      <c r="M46" s="12">
        <v>1</v>
      </c>
      <c r="N46" s="12">
        <f t="shared" si="3"/>
        <v>0</v>
      </c>
      <c r="O46" s="5"/>
      <c r="P46" s="5"/>
    </row>
    <row r="47" spans="2:16" ht="13.8" x14ac:dyDescent="0.25">
      <c r="B47" s="1"/>
      <c r="C47" s="2"/>
      <c r="D47" s="2"/>
      <c r="E47" s="2"/>
      <c r="F47" s="69"/>
      <c r="G47" s="70"/>
      <c r="H47" s="2"/>
      <c r="I47" s="8">
        <v>0</v>
      </c>
      <c r="J47" s="8">
        <v>0</v>
      </c>
      <c r="K47" s="4">
        <v>0</v>
      </c>
      <c r="L47" s="11">
        <f t="shared" si="2"/>
        <v>0</v>
      </c>
      <c r="M47" s="12">
        <v>1</v>
      </c>
      <c r="N47" s="12">
        <f t="shared" si="3"/>
        <v>0</v>
      </c>
      <c r="O47" s="5"/>
      <c r="P47" s="5"/>
    </row>
  </sheetData>
  <mergeCells count="64">
    <mergeCell ref="F46:G46"/>
    <mergeCell ref="F47:G47"/>
    <mergeCell ref="B15:B17"/>
    <mergeCell ref="B18:B20"/>
    <mergeCell ref="B21:B22"/>
    <mergeCell ref="F41:G41"/>
    <mergeCell ref="F42:G42"/>
    <mergeCell ref="F43:G43"/>
    <mergeCell ref="F44:G44"/>
    <mergeCell ref="F45:G45"/>
    <mergeCell ref="F36:G36"/>
    <mergeCell ref="F37:G37"/>
    <mergeCell ref="F38:G38"/>
    <mergeCell ref="F39:G39"/>
    <mergeCell ref="F40:G40"/>
    <mergeCell ref="F31:G31"/>
    <mergeCell ref="F32:G32"/>
    <mergeCell ref="F33:G33"/>
    <mergeCell ref="F34:G34"/>
    <mergeCell ref="F35:G35"/>
    <mergeCell ref="F26:G26"/>
    <mergeCell ref="F27:G27"/>
    <mergeCell ref="F28:G28"/>
    <mergeCell ref="F29:G29"/>
    <mergeCell ref="F30:G30"/>
    <mergeCell ref="F21:G21"/>
    <mergeCell ref="F22:G22"/>
    <mergeCell ref="F23:G23"/>
    <mergeCell ref="F24:G24"/>
    <mergeCell ref="F25:G25"/>
    <mergeCell ref="F16:G16"/>
    <mergeCell ref="F17:G17"/>
    <mergeCell ref="F18:G18"/>
    <mergeCell ref="F19:G19"/>
    <mergeCell ref="F20:G20"/>
    <mergeCell ref="F12:G12"/>
    <mergeCell ref="F13:G13"/>
    <mergeCell ref="F10:G10"/>
    <mergeCell ref="F7:G7"/>
    <mergeCell ref="F8:G8"/>
    <mergeCell ref="F9:G9"/>
    <mergeCell ref="F14:G14"/>
    <mergeCell ref="F15:G15"/>
    <mergeCell ref="B4:N4"/>
    <mergeCell ref="O4:P4"/>
    <mergeCell ref="B5:B6"/>
    <mergeCell ref="C5:C6"/>
    <mergeCell ref="D5:D6"/>
    <mergeCell ref="E5:E6"/>
    <mergeCell ref="F5:G6"/>
    <mergeCell ref="H5:H6"/>
    <mergeCell ref="I5:K5"/>
    <mergeCell ref="L5:N5"/>
    <mergeCell ref="O5:O6"/>
    <mergeCell ref="P5:P6"/>
    <mergeCell ref="B7:B8"/>
    <mergeCell ref="F11:G11"/>
    <mergeCell ref="B1:C2"/>
    <mergeCell ref="D1:N2"/>
    <mergeCell ref="O1:P1"/>
    <mergeCell ref="O2:P2"/>
    <mergeCell ref="B3:H3"/>
    <mergeCell ref="I3:N3"/>
    <mergeCell ref="O3:P3"/>
  </mergeCells>
  <phoneticPr fontId="12" type="noConversion"/>
  <pageMargins left="0.19685039370078741" right="0" top="0.19685039370078741" bottom="0" header="0" footer="0"/>
  <pageSetup paperSize="9"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FC95-42D7-4492-84B9-7439FF4CFFC7}">
  <sheetPr>
    <pageSetUpPr fitToPage="1"/>
  </sheetPr>
  <dimension ref="B1:P86"/>
  <sheetViews>
    <sheetView topLeftCell="A16" zoomScale="120" zoomScaleNormal="120" workbookViewId="0">
      <selection activeCell="F27" sqref="F27:G27"/>
    </sheetView>
  </sheetViews>
  <sheetFormatPr baseColWidth="10" defaultColWidth="8.88671875" defaultRowHeight="13.2" x14ac:dyDescent="0.25"/>
  <cols>
    <col min="1" max="1" width="2.109375" customWidth="1"/>
    <col min="2" max="2" width="11.77734375" customWidth="1"/>
    <col min="3" max="3" width="17.5546875" customWidth="1"/>
    <col min="4" max="4" width="17.6640625" customWidth="1"/>
    <col min="5" max="5" width="15.21875" customWidth="1"/>
    <col min="6" max="6" width="14.6640625" customWidth="1"/>
    <col min="7" max="7" width="16" customWidth="1"/>
    <col min="8" max="8" width="28.44140625" customWidth="1"/>
    <col min="9" max="10" width="17.109375" customWidth="1"/>
    <col min="11" max="11" width="17.33203125" customWidth="1"/>
    <col min="12" max="12" width="16.33203125" customWidth="1"/>
    <col min="13" max="13" width="13.77734375" customWidth="1"/>
    <col min="14" max="14" width="14.77734375" customWidth="1"/>
    <col min="15" max="15" width="22.44140625" customWidth="1"/>
    <col min="16" max="16" width="17.33203125" customWidth="1"/>
  </cols>
  <sheetData>
    <row r="1" spans="2:16" ht="18" customHeight="1" x14ac:dyDescent="0.25">
      <c r="B1" s="80"/>
      <c r="C1" s="80"/>
      <c r="D1" s="82" t="s">
        <v>18</v>
      </c>
      <c r="E1" s="82"/>
      <c r="F1" s="82"/>
      <c r="G1" s="82"/>
      <c r="H1" s="82"/>
      <c r="I1" s="82"/>
      <c r="J1" s="82"/>
      <c r="K1" s="82"/>
      <c r="L1" s="82"/>
      <c r="M1" s="82"/>
      <c r="N1" s="82"/>
      <c r="O1" s="75" t="s">
        <v>21</v>
      </c>
      <c r="P1" s="76"/>
    </row>
    <row r="2" spans="2:16" ht="19.2" customHeight="1" x14ac:dyDescent="0.25">
      <c r="B2" s="81"/>
      <c r="C2" s="81"/>
      <c r="D2" s="83"/>
      <c r="E2" s="83"/>
      <c r="F2" s="83"/>
      <c r="G2" s="83"/>
      <c r="H2" s="83"/>
      <c r="I2" s="84"/>
      <c r="J2" s="84"/>
      <c r="K2" s="84"/>
      <c r="L2" s="84"/>
      <c r="M2" s="84"/>
      <c r="N2" s="84"/>
      <c r="O2" s="76" t="s">
        <v>0</v>
      </c>
      <c r="P2" s="76"/>
    </row>
    <row r="3" spans="2:16" ht="12.6" customHeight="1" x14ac:dyDescent="0.25">
      <c r="B3" s="79" t="s">
        <v>9</v>
      </c>
      <c r="C3" s="79"/>
      <c r="D3" s="79"/>
      <c r="E3" s="79"/>
      <c r="F3" s="79"/>
      <c r="G3" s="79"/>
      <c r="H3" s="79"/>
      <c r="I3" s="77" t="s">
        <v>10</v>
      </c>
      <c r="J3" s="78"/>
      <c r="K3" s="78"/>
      <c r="L3" s="78"/>
      <c r="M3" s="78"/>
      <c r="N3" s="78"/>
      <c r="O3" s="75" t="s">
        <v>19</v>
      </c>
      <c r="P3" s="76"/>
    </row>
    <row r="4" spans="2:16" ht="10.199999999999999" customHeight="1" x14ac:dyDescent="0.25">
      <c r="B4" s="86" t="s">
        <v>17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75" t="s">
        <v>20</v>
      </c>
      <c r="P4" s="76"/>
    </row>
    <row r="5" spans="2:16" ht="15.45" customHeight="1" x14ac:dyDescent="0.25">
      <c r="B5" s="91" t="s">
        <v>1</v>
      </c>
      <c r="C5" s="91" t="s">
        <v>3</v>
      </c>
      <c r="D5" s="91" t="s">
        <v>4</v>
      </c>
      <c r="E5" s="91" t="s">
        <v>2</v>
      </c>
      <c r="F5" s="100" t="s">
        <v>15</v>
      </c>
      <c r="G5" s="101"/>
      <c r="H5" s="91" t="s">
        <v>22</v>
      </c>
      <c r="I5" s="93" t="s">
        <v>16</v>
      </c>
      <c r="J5" s="94"/>
      <c r="K5" s="95"/>
      <c r="L5" s="96" t="s">
        <v>6</v>
      </c>
      <c r="M5" s="97"/>
      <c r="N5" s="98"/>
      <c r="O5" s="99" t="s">
        <v>5</v>
      </c>
      <c r="P5" s="99" t="s">
        <v>14</v>
      </c>
    </row>
    <row r="6" spans="2:16" ht="25.8" customHeight="1" x14ac:dyDescent="0.25">
      <c r="B6" s="92"/>
      <c r="C6" s="92"/>
      <c r="D6" s="92"/>
      <c r="E6" s="92"/>
      <c r="F6" s="102"/>
      <c r="G6" s="103"/>
      <c r="H6" s="92"/>
      <c r="I6" s="6" t="s">
        <v>7</v>
      </c>
      <c r="J6" s="6" t="s">
        <v>8</v>
      </c>
      <c r="K6" s="6" t="s">
        <v>11</v>
      </c>
      <c r="L6" s="7" t="s">
        <v>13</v>
      </c>
      <c r="M6" s="7" t="s">
        <v>23</v>
      </c>
      <c r="N6" s="7" t="s">
        <v>12</v>
      </c>
      <c r="O6" s="99"/>
      <c r="P6" s="99"/>
    </row>
    <row r="7" spans="2:16" ht="30" customHeight="1" x14ac:dyDescent="0.25">
      <c r="B7" s="88">
        <v>46098</v>
      </c>
      <c r="C7" s="2" t="s">
        <v>53</v>
      </c>
      <c r="D7" s="2" t="s">
        <v>53</v>
      </c>
      <c r="E7" s="2" t="s">
        <v>54</v>
      </c>
      <c r="F7" s="85" t="s">
        <v>55</v>
      </c>
      <c r="G7" s="85"/>
      <c r="H7" s="2" t="s">
        <v>53</v>
      </c>
      <c r="I7" s="8">
        <v>0.29166666666666669</v>
      </c>
      <c r="J7" s="8">
        <v>0.46249999999999997</v>
      </c>
      <c r="K7" s="4">
        <v>0</v>
      </c>
      <c r="L7" s="11">
        <f>((J7-I7+(J7&lt;I7))*1440)-K7</f>
        <v>245.99999999999991</v>
      </c>
      <c r="M7" s="12">
        <v>1</v>
      </c>
      <c r="N7" s="12">
        <f>L7/M7</f>
        <v>245.99999999999991</v>
      </c>
      <c r="O7" s="5"/>
      <c r="P7" s="5"/>
    </row>
    <row r="8" spans="2:16" ht="30" customHeight="1" x14ac:dyDescent="0.25">
      <c r="B8" s="89"/>
      <c r="C8" s="2" t="s">
        <v>24</v>
      </c>
      <c r="D8" s="2" t="s">
        <v>33</v>
      </c>
      <c r="E8" s="2" t="s">
        <v>54</v>
      </c>
      <c r="F8" s="85" t="s">
        <v>56</v>
      </c>
      <c r="G8" s="85"/>
      <c r="H8" s="2">
        <v>2</v>
      </c>
      <c r="I8" s="8">
        <v>0.46249999999999997</v>
      </c>
      <c r="J8" s="8">
        <v>0.49305555555555558</v>
      </c>
      <c r="K8" s="4">
        <v>5</v>
      </c>
      <c r="L8" s="11">
        <f t="shared" ref="L8:L15" si="0">((J8-I8+(J8&lt;I8))*1440)-K8</f>
        <v>39.000000000000085</v>
      </c>
      <c r="M8" s="12">
        <v>2</v>
      </c>
      <c r="N8" s="12">
        <f t="shared" ref="N8:N15" si="1">L8/M8</f>
        <v>19.500000000000043</v>
      </c>
      <c r="O8" s="5"/>
      <c r="P8" s="5"/>
    </row>
    <row r="9" spans="2:16" ht="30" customHeight="1" x14ac:dyDescent="0.25">
      <c r="B9" s="89"/>
      <c r="C9" s="2" t="s">
        <v>24</v>
      </c>
      <c r="D9" s="2" t="s">
        <v>46</v>
      </c>
      <c r="E9" s="2" t="s">
        <v>57</v>
      </c>
      <c r="F9" s="85" t="s">
        <v>58</v>
      </c>
      <c r="G9" s="85"/>
      <c r="H9" s="2">
        <v>1</v>
      </c>
      <c r="I9" s="8">
        <v>0.49305555555555558</v>
      </c>
      <c r="J9" s="8">
        <v>0.59027777777777779</v>
      </c>
      <c r="K9" s="4">
        <f>12+40</f>
        <v>52</v>
      </c>
      <c r="L9" s="11">
        <f t="shared" si="0"/>
        <v>87.999999999999972</v>
      </c>
      <c r="M9" s="12">
        <v>1</v>
      </c>
      <c r="N9" s="12">
        <f t="shared" si="1"/>
        <v>87.999999999999972</v>
      </c>
      <c r="O9" s="5"/>
      <c r="P9" s="5"/>
    </row>
    <row r="10" spans="2:16" ht="30" customHeight="1" x14ac:dyDescent="0.25">
      <c r="B10" s="89"/>
      <c r="C10" s="2" t="s">
        <v>59</v>
      </c>
      <c r="D10" s="2" t="s">
        <v>53</v>
      </c>
      <c r="E10" s="2" t="s">
        <v>60</v>
      </c>
      <c r="F10" s="85" t="s">
        <v>61</v>
      </c>
      <c r="G10" s="85"/>
      <c r="H10" s="2">
        <v>1</v>
      </c>
      <c r="I10" s="8">
        <v>0.59027777777777779</v>
      </c>
      <c r="J10" s="8">
        <v>0.61805555555555558</v>
      </c>
      <c r="K10" s="4">
        <v>10</v>
      </c>
      <c r="L10" s="11">
        <f t="shared" si="0"/>
        <v>30.000000000000014</v>
      </c>
      <c r="M10" s="12">
        <v>1</v>
      </c>
      <c r="N10" s="12">
        <f t="shared" si="1"/>
        <v>30.000000000000014</v>
      </c>
      <c r="O10" s="5"/>
      <c r="P10" s="5"/>
    </row>
    <row r="11" spans="2:16" ht="30" customHeight="1" thickBot="1" x14ac:dyDescent="0.3">
      <c r="B11" s="89"/>
      <c r="C11" s="17" t="s">
        <v>24</v>
      </c>
      <c r="D11" s="17" t="s">
        <v>46</v>
      </c>
      <c r="E11" s="17" t="s">
        <v>54</v>
      </c>
      <c r="F11" s="116" t="s">
        <v>56</v>
      </c>
      <c r="G11" s="116"/>
      <c r="H11" s="17">
        <v>2</v>
      </c>
      <c r="I11" s="18">
        <v>0.61805555555555558</v>
      </c>
      <c r="J11" s="18">
        <v>0.66666666666666663</v>
      </c>
      <c r="K11" s="19">
        <f>6+17</f>
        <v>23</v>
      </c>
      <c r="L11" s="20">
        <f t="shared" si="0"/>
        <v>46.999999999999915</v>
      </c>
      <c r="M11" s="21">
        <v>2</v>
      </c>
      <c r="N11" s="21">
        <f t="shared" si="1"/>
        <v>23.499999999999957</v>
      </c>
      <c r="O11" s="22"/>
      <c r="P11" s="22"/>
    </row>
    <row r="12" spans="2:16" ht="30" customHeight="1" x14ac:dyDescent="0.25">
      <c r="B12" s="66">
        <v>46099</v>
      </c>
      <c r="C12" s="113" t="s">
        <v>24</v>
      </c>
      <c r="D12" s="28" t="s">
        <v>82</v>
      </c>
      <c r="E12" s="28" t="s">
        <v>83</v>
      </c>
      <c r="F12" s="117" t="s">
        <v>84</v>
      </c>
      <c r="G12" s="117"/>
      <c r="H12" s="28">
        <v>2</v>
      </c>
      <c r="I12" s="30">
        <v>0.29166666666666669</v>
      </c>
      <c r="J12" s="30">
        <v>0.31944444444444448</v>
      </c>
      <c r="K12" s="29">
        <v>0</v>
      </c>
      <c r="L12" s="31">
        <f t="shared" si="0"/>
        <v>40.000000000000014</v>
      </c>
      <c r="M12" s="32">
        <v>2</v>
      </c>
      <c r="N12" s="32">
        <f t="shared" si="1"/>
        <v>20.000000000000007</v>
      </c>
      <c r="O12" s="33"/>
      <c r="P12" s="34"/>
    </row>
    <row r="13" spans="2:16" ht="30" customHeight="1" x14ac:dyDescent="0.25">
      <c r="B13" s="67"/>
      <c r="C13" s="114"/>
      <c r="D13" s="2" t="s">
        <v>85</v>
      </c>
      <c r="E13" s="2" t="s">
        <v>85</v>
      </c>
      <c r="F13" s="69" t="s">
        <v>88</v>
      </c>
      <c r="G13" s="70"/>
      <c r="H13" s="2">
        <v>2</v>
      </c>
      <c r="I13" s="8">
        <v>0.31944444444444448</v>
      </c>
      <c r="J13" s="8">
        <v>0.36805555555555558</v>
      </c>
      <c r="K13" s="4">
        <v>5</v>
      </c>
      <c r="L13" s="11">
        <f t="shared" si="0"/>
        <v>64.999999999999986</v>
      </c>
      <c r="M13" s="12">
        <v>2</v>
      </c>
      <c r="N13" s="12">
        <f t="shared" si="1"/>
        <v>32.499999999999993</v>
      </c>
      <c r="O13" s="5"/>
      <c r="P13" s="35"/>
    </row>
    <row r="14" spans="2:16" ht="30" customHeight="1" x14ac:dyDescent="0.25">
      <c r="B14" s="67"/>
      <c r="C14" s="114"/>
      <c r="D14" s="2" t="s">
        <v>87</v>
      </c>
      <c r="E14" s="2" t="s">
        <v>87</v>
      </c>
      <c r="F14" s="69" t="s">
        <v>89</v>
      </c>
      <c r="G14" s="70"/>
      <c r="H14" s="2">
        <v>2</v>
      </c>
      <c r="I14" s="8">
        <v>0.36805555555555558</v>
      </c>
      <c r="J14" s="8">
        <v>0.45833333333333331</v>
      </c>
      <c r="K14" s="4">
        <v>0</v>
      </c>
      <c r="L14" s="11">
        <f t="shared" si="0"/>
        <v>129.99999999999994</v>
      </c>
      <c r="M14" s="12">
        <v>2</v>
      </c>
      <c r="N14" s="12">
        <f t="shared" si="1"/>
        <v>64.999999999999972</v>
      </c>
      <c r="O14" s="5"/>
      <c r="P14" s="35"/>
    </row>
    <row r="15" spans="2:16" ht="30" customHeight="1" x14ac:dyDescent="0.25">
      <c r="B15" s="67"/>
      <c r="C15" s="114"/>
      <c r="D15" s="2" t="s">
        <v>86</v>
      </c>
      <c r="E15" s="2" t="s">
        <v>86</v>
      </c>
      <c r="F15" s="69" t="s">
        <v>90</v>
      </c>
      <c r="G15" s="70"/>
      <c r="H15" s="2">
        <v>2</v>
      </c>
      <c r="I15" s="8">
        <v>0.45833333333333331</v>
      </c>
      <c r="J15" s="8">
        <v>0.4861111111111111</v>
      </c>
      <c r="K15" s="4">
        <v>5</v>
      </c>
      <c r="L15" s="11">
        <f t="shared" si="0"/>
        <v>35.000000000000014</v>
      </c>
      <c r="M15" s="12">
        <v>2</v>
      </c>
      <c r="N15" s="12">
        <f t="shared" si="1"/>
        <v>17.500000000000007</v>
      </c>
      <c r="O15" s="5"/>
      <c r="P15" s="35"/>
    </row>
    <row r="16" spans="2:16" ht="40.799999999999997" customHeight="1" x14ac:dyDescent="0.25">
      <c r="B16" s="67"/>
      <c r="C16" s="114"/>
      <c r="D16" s="2" t="s">
        <v>86</v>
      </c>
      <c r="E16" s="2" t="s">
        <v>86</v>
      </c>
      <c r="F16" s="69" t="s">
        <v>91</v>
      </c>
      <c r="G16" s="70"/>
      <c r="H16" s="2">
        <v>2</v>
      </c>
      <c r="I16" s="8">
        <v>0.4861111111111111</v>
      </c>
      <c r="J16" s="8">
        <v>0.59722222222222221</v>
      </c>
      <c r="K16" s="4">
        <v>10</v>
      </c>
      <c r="L16" s="11">
        <f t="shared" ref="L16:L24" si="2">((J16-I16+(J16&lt;I16))*1440)-K16</f>
        <v>150</v>
      </c>
      <c r="M16" s="12">
        <v>2</v>
      </c>
      <c r="N16" s="12">
        <f t="shared" ref="N16:N24" si="3">L16/M16</f>
        <v>75</v>
      </c>
      <c r="O16" s="5"/>
      <c r="P16" s="35"/>
    </row>
    <row r="17" spans="2:16" ht="26.4" customHeight="1" x14ac:dyDescent="0.25">
      <c r="B17" s="67"/>
      <c r="C17" s="114"/>
      <c r="D17" s="2"/>
      <c r="E17" s="2" t="s">
        <v>86</v>
      </c>
      <c r="F17" s="69" t="s">
        <v>93</v>
      </c>
      <c r="G17" s="70"/>
      <c r="H17" s="2">
        <v>2</v>
      </c>
      <c r="I17" s="8">
        <v>0.59722222222222221</v>
      </c>
      <c r="J17" s="8">
        <v>0.63888888888888895</v>
      </c>
      <c r="K17" s="4">
        <v>15</v>
      </c>
      <c r="L17" s="11">
        <f t="shared" si="2"/>
        <v>45.000000000000107</v>
      </c>
      <c r="M17" s="12">
        <v>1</v>
      </c>
      <c r="N17" s="12">
        <f t="shared" si="3"/>
        <v>45.000000000000107</v>
      </c>
      <c r="O17" s="5"/>
      <c r="P17" s="35"/>
    </row>
    <row r="18" spans="2:16" ht="31.2" customHeight="1" thickBot="1" x14ac:dyDescent="0.3">
      <c r="B18" s="68"/>
      <c r="C18" s="36" t="s">
        <v>53</v>
      </c>
      <c r="D18" s="36" t="s">
        <v>53</v>
      </c>
      <c r="E18" s="36" t="s">
        <v>92</v>
      </c>
      <c r="F18" s="73" t="s">
        <v>94</v>
      </c>
      <c r="G18" s="74"/>
      <c r="H18" s="36">
        <v>1</v>
      </c>
      <c r="I18" s="38">
        <v>0.63888888888888895</v>
      </c>
      <c r="J18" s="38">
        <v>0.75</v>
      </c>
      <c r="K18" s="37">
        <v>0</v>
      </c>
      <c r="L18" s="39">
        <f t="shared" si="2"/>
        <v>159.99999999999991</v>
      </c>
      <c r="M18" s="40">
        <v>1</v>
      </c>
      <c r="N18" s="40">
        <f t="shared" si="3"/>
        <v>159.99999999999991</v>
      </c>
      <c r="O18" s="41"/>
      <c r="P18" s="42"/>
    </row>
    <row r="19" spans="2:16" ht="31.2" customHeight="1" x14ac:dyDescent="0.25">
      <c r="B19" s="66">
        <v>46100</v>
      </c>
      <c r="C19" s="113" t="s">
        <v>24</v>
      </c>
      <c r="D19" s="113" t="s">
        <v>46</v>
      </c>
      <c r="E19" s="28" t="s">
        <v>86</v>
      </c>
      <c r="F19" s="71" t="s">
        <v>95</v>
      </c>
      <c r="G19" s="72"/>
      <c r="H19" s="28">
        <v>4</v>
      </c>
      <c r="I19" s="30">
        <v>0.29166666666666669</v>
      </c>
      <c r="J19" s="30">
        <v>0.34375</v>
      </c>
      <c r="K19" s="29">
        <v>5</v>
      </c>
      <c r="L19" s="31">
        <f t="shared" si="2"/>
        <v>69.999999999999972</v>
      </c>
      <c r="M19" s="32">
        <v>1</v>
      </c>
      <c r="N19" s="32">
        <f t="shared" si="3"/>
        <v>69.999999999999972</v>
      </c>
      <c r="O19" s="33"/>
      <c r="P19" s="34"/>
    </row>
    <row r="20" spans="2:16" ht="13.8" x14ac:dyDescent="0.25">
      <c r="B20" s="67"/>
      <c r="C20" s="114"/>
      <c r="D20" s="114"/>
      <c r="E20" s="2" t="s">
        <v>96</v>
      </c>
      <c r="F20" s="69" t="s">
        <v>97</v>
      </c>
      <c r="G20" s="70"/>
      <c r="H20" s="2">
        <v>2</v>
      </c>
      <c r="I20" s="8">
        <v>0.34375</v>
      </c>
      <c r="J20" s="8">
        <v>0.38750000000000001</v>
      </c>
      <c r="K20" s="4">
        <v>0</v>
      </c>
      <c r="L20" s="11">
        <f t="shared" si="2"/>
        <v>63.000000000000014</v>
      </c>
      <c r="M20" s="12">
        <v>1</v>
      </c>
      <c r="N20" s="12">
        <f t="shared" si="3"/>
        <v>63.000000000000014</v>
      </c>
      <c r="O20" s="5"/>
      <c r="P20" s="35"/>
    </row>
    <row r="21" spans="2:16" ht="33" customHeight="1" x14ac:dyDescent="0.25">
      <c r="B21" s="67"/>
      <c r="C21" s="114"/>
      <c r="D21" s="114"/>
      <c r="E21" s="2" t="s">
        <v>98</v>
      </c>
      <c r="F21" s="69" t="s">
        <v>99</v>
      </c>
      <c r="G21" s="70"/>
      <c r="H21" s="2">
        <v>1</v>
      </c>
      <c r="I21" s="8">
        <v>0.38750000000000001</v>
      </c>
      <c r="J21" s="8">
        <v>0.39583333333333331</v>
      </c>
      <c r="K21" s="4">
        <v>0</v>
      </c>
      <c r="L21" s="11">
        <f t="shared" si="2"/>
        <v>11.999999999999957</v>
      </c>
      <c r="M21" s="12">
        <v>1</v>
      </c>
      <c r="N21" s="12">
        <f t="shared" si="3"/>
        <v>11.999999999999957</v>
      </c>
      <c r="O21" s="5"/>
      <c r="P21" s="35"/>
    </row>
    <row r="22" spans="2:16" ht="46.8" customHeight="1" x14ac:dyDescent="0.25">
      <c r="B22" s="67"/>
      <c r="C22" s="114"/>
      <c r="D22" s="114"/>
      <c r="E22" s="2" t="s">
        <v>100</v>
      </c>
      <c r="F22" s="69" t="s">
        <v>101</v>
      </c>
      <c r="G22" s="70"/>
      <c r="H22" s="2">
        <v>2</v>
      </c>
      <c r="I22" s="8">
        <v>0.39583333333333331</v>
      </c>
      <c r="J22" s="8">
        <v>0.47222222222222227</v>
      </c>
      <c r="K22" s="4">
        <v>15</v>
      </c>
      <c r="L22" s="11">
        <f t="shared" si="2"/>
        <v>95.000000000000085</v>
      </c>
      <c r="M22" s="12">
        <v>1</v>
      </c>
      <c r="N22" s="12">
        <f t="shared" si="3"/>
        <v>95.000000000000085</v>
      </c>
      <c r="O22" s="5"/>
      <c r="P22" s="35"/>
    </row>
    <row r="23" spans="2:16" ht="13.8" x14ac:dyDescent="0.25">
      <c r="B23" s="67"/>
      <c r="C23" s="114"/>
      <c r="D23" s="114"/>
      <c r="E23" s="2" t="s">
        <v>152</v>
      </c>
      <c r="F23" s="69" t="s">
        <v>102</v>
      </c>
      <c r="G23" s="70"/>
      <c r="H23" s="2">
        <v>1</v>
      </c>
      <c r="I23" s="8">
        <v>0.47222222222222227</v>
      </c>
      <c r="J23" s="8">
        <v>0.50694444444444442</v>
      </c>
      <c r="K23" s="4">
        <v>10</v>
      </c>
      <c r="L23" s="11">
        <f t="shared" si="2"/>
        <v>39.999999999999901</v>
      </c>
      <c r="M23" s="12">
        <v>1</v>
      </c>
      <c r="N23" s="12">
        <f t="shared" si="3"/>
        <v>39.999999999999901</v>
      </c>
      <c r="O23" s="5"/>
      <c r="P23" s="35"/>
    </row>
    <row r="24" spans="2:16" ht="30.6" customHeight="1" x14ac:dyDescent="0.25">
      <c r="B24" s="67"/>
      <c r="C24" s="114"/>
      <c r="D24" s="114"/>
      <c r="E24" s="2" t="s">
        <v>104</v>
      </c>
      <c r="F24" s="69" t="s">
        <v>103</v>
      </c>
      <c r="G24" s="70"/>
      <c r="H24" s="2">
        <v>1</v>
      </c>
      <c r="I24" s="8">
        <v>0.50694444444444442</v>
      </c>
      <c r="J24" s="8">
        <v>0.58680555555555558</v>
      </c>
      <c r="K24" s="4">
        <v>40</v>
      </c>
      <c r="L24" s="11">
        <f t="shared" si="2"/>
        <v>75.000000000000071</v>
      </c>
      <c r="M24" s="12">
        <v>1</v>
      </c>
      <c r="N24" s="12">
        <f t="shared" si="3"/>
        <v>75.000000000000071</v>
      </c>
      <c r="O24" s="5"/>
      <c r="P24" s="35"/>
    </row>
    <row r="25" spans="2:16" ht="27" customHeight="1" thickBot="1" x14ac:dyDescent="0.3">
      <c r="B25" s="68"/>
      <c r="C25" s="115"/>
      <c r="D25" s="115"/>
      <c r="E25" s="36" t="s">
        <v>100</v>
      </c>
      <c r="F25" s="73" t="s">
        <v>105</v>
      </c>
      <c r="G25" s="74"/>
      <c r="H25" s="36">
        <v>2</v>
      </c>
      <c r="I25" s="38">
        <v>0.58680555555555558</v>
      </c>
      <c r="J25" s="38">
        <v>0.66666666666666663</v>
      </c>
      <c r="K25" s="37">
        <f>5+10</f>
        <v>15</v>
      </c>
      <c r="L25" s="39">
        <f t="shared" ref="L25:L86" si="4">((J25-I25+(J25&lt;I25))*1440)-K25</f>
        <v>99.999999999999915</v>
      </c>
      <c r="M25" s="40">
        <v>1</v>
      </c>
      <c r="N25" s="40">
        <f t="shared" ref="N25:N86" si="5">L25/M25</f>
        <v>99.999999999999915</v>
      </c>
      <c r="O25" s="41"/>
      <c r="P25" s="42"/>
    </row>
    <row r="26" spans="2:16" ht="13.8" x14ac:dyDescent="0.25">
      <c r="B26" s="15"/>
      <c r="C26" s="16"/>
      <c r="D26" s="16"/>
      <c r="E26" s="16"/>
      <c r="F26" s="106"/>
      <c r="G26" s="107"/>
      <c r="H26" s="16"/>
      <c r="I26" s="24">
        <v>0</v>
      </c>
      <c r="J26" s="24">
        <v>0</v>
      </c>
      <c r="K26" s="23">
        <v>0</v>
      </c>
      <c r="L26" s="25">
        <f t="shared" si="4"/>
        <v>0</v>
      </c>
      <c r="M26" s="26">
        <v>1</v>
      </c>
      <c r="N26" s="26">
        <f t="shared" si="5"/>
        <v>0</v>
      </c>
      <c r="O26" s="27"/>
      <c r="P26" s="27"/>
    </row>
    <row r="27" spans="2:16" ht="13.8" x14ac:dyDescent="0.25">
      <c r="B27" s="1"/>
      <c r="C27" s="2"/>
      <c r="D27" s="2"/>
      <c r="E27" s="2"/>
      <c r="F27" s="69"/>
      <c r="G27" s="70"/>
      <c r="H27" s="2"/>
      <c r="I27" s="8">
        <v>0</v>
      </c>
      <c r="J27" s="8">
        <v>0</v>
      </c>
      <c r="K27" s="4">
        <v>0</v>
      </c>
      <c r="L27" s="11">
        <f t="shared" si="4"/>
        <v>0</v>
      </c>
      <c r="M27" s="12">
        <v>1</v>
      </c>
      <c r="N27" s="12">
        <f t="shared" si="5"/>
        <v>0</v>
      </c>
      <c r="O27" s="5"/>
      <c r="P27" s="5"/>
    </row>
    <row r="28" spans="2:16" ht="13.8" x14ac:dyDescent="0.25">
      <c r="B28" s="1"/>
      <c r="C28" s="2"/>
      <c r="D28" s="2"/>
      <c r="E28" s="2"/>
      <c r="F28" s="69"/>
      <c r="G28" s="70"/>
      <c r="H28" s="2"/>
      <c r="I28" s="8">
        <v>0</v>
      </c>
      <c r="J28" s="8">
        <v>0</v>
      </c>
      <c r="K28" s="4">
        <v>0</v>
      </c>
      <c r="L28" s="11">
        <f t="shared" si="4"/>
        <v>0</v>
      </c>
      <c r="M28" s="12">
        <v>1</v>
      </c>
      <c r="N28" s="12">
        <f t="shared" si="5"/>
        <v>0</v>
      </c>
      <c r="O28" s="5"/>
      <c r="P28" s="5"/>
    </row>
    <row r="29" spans="2:16" ht="13.8" x14ac:dyDescent="0.25">
      <c r="B29" s="1"/>
      <c r="C29" s="2"/>
      <c r="D29" s="2"/>
      <c r="E29" s="2"/>
      <c r="F29" s="69"/>
      <c r="G29" s="70"/>
      <c r="H29" s="2"/>
      <c r="I29" s="8">
        <v>0</v>
      </c>
      <c r="J29" s="8">
        <v>0</v>
      </c>
      <c r="K29" s="4">
        <v>0</v>
      </c>
      <c r="L29" s="11">
        <f t="shared" si="4"/>
        <v>0</v>
      </c>
      <c r="M29" s="12">
        <v>1</v>
      </c>
      <c r="N29" s="12">
        <f t="shared" si="5"/>
        <v>0</v>
      </c>
      <c r="O29" s="5"/>
      <c r="P29" s="5"/>
    </row>
    <row r="30" spans="2:16" ht="13.8" x14ac:dyDescent="0.25">
      <c r="B30" s="1"/>
      <c r="C30" s="2"/>
      <c r="D30" s="2"/>
      <c r="E30" s="2"/>
      <c r="F30" s="69"/>
      <c r="G30" s="70"/>
      <c r="H30" s="2"/>
      <c r="I30" s="8">
        <v>0</v>
      </c>
      <c r="J30" s="8">
        <v>0</v>
      </c>
      <c r="K30" s="4">
        <v>0</v>
      </c>
      <c r="L30" s="11">
        <f t="shared" si="4"/>
        <v>0</v>
      </c>
      <c r="M30" s="12">
        <v>1</v>
      </c>
      <c r="N30" s="12">
        <f t="shared" si="5"/>
        <v>0</v>
      </c>
      <c r="O30" s="5"/>
      <c r="P30" s="5"/>
    </row>
    <row r="31" spans="2:16" ht="13.8" x14ac:dyDescent="0.25">
      <c r="B31" s="1"/>
      <c r="C31" s="2"/>
      <c r="D31" s="2"/>
      <c r="E31" s="2"/>
      <c r="F31" s="69"/>
      <c r="G31" s="70"/>
      <c r="H31" s="2"/>
      <c r="I31" s="8">
        <v>0</v>
      </c>
      <c r="J31" s="8">
        <v>0</v>
      </c>
      <c r="K31" s="4">
        <v>0</v>
      </c>
      <c r="L31" s="11">
        <f t="shared" si="4"/>
        <v>0</v>
      </c>
      <c r="M31" s="12">
        <v>1</v>
      </c>
      <c r="N31" s="12">
        <f t="shared" si="5"/>
        <v>0</v>
      </c>
      <c r="O31" s="5"/>
      <c r="P31" s="5"/>
    </row>
    <row r="32" spans="2:16" ht="13.8" x14ac:dyDescent="0.25">
      <c r="B32" s="1"/>
      <c r="C32" s="2"/>
      <c r="D32" s="2"/>
      <c r="E32" s="2"/>
      <c r="F32" s="69"/>
      <c r="G32" s="70"/>
      <c r="H32" s="2"/>
      <c r="I32" s="8">
        <v>0</v>
      </c>
      <c r="J32" s="8">
        <v>0</v>
      </c>
      <c r="K32" s="4">
        <v>0</v>
      </c>
      <c r="L32" s="11">
        <f t="shared" si="4"/>
        <v>0</v>
      </c>
      <c r="M32" s="12">
        <v>1</v>
      </c>
      <c r="N32" s="12">
        <f t="shared" si="5"/>
        <v>0</v>
      </c>
      <c r="O32" s="5"/>
      <c r="P32" s="5"/>
    </row>
    <row r="33" spans="2:16" ht="13.8" x14ac:dyDescent="0.25">
      <c r="B33" s="1"/>
      <c r="C33" s="2"/>
      <c r="D33" s="2"/>
      <c r="E33" s="2"/>
      <c r="F33" s="69"/>
      <c r="G33" s="70"/>
      <c r="H33" s="2"/>
      <c r="I33" s="8">
        <v>0</v>
      </c>
      <c r="J33" s="8">
        <v>0</v>
      </c>
      <c r="K33" s="4">
        <v>0</v>
      </c>
      <c r="L33" s="11">
        <f t="shared" si="4"/>
        <v>0</v>
      </c>
      <c r="M33" s="12">
        <v>1</v>
      </c>
      <c r="N33" s="12">
        <f t="shared" si="5"/>
        <v>0</v>
      </c>
      <c r="O33" s="5"/>
      <c r="P33" s="5"/>
    </row>
    <row r="34" spans="2:16" ht="13.8" x14ac:dyDescent="0.25">
      <c r="B34" s="1"/>
      <c r="C34" s="2"/>
      <c r="D34" s="2"/>
      <c r="E34" s="2"/>
      <c r="F34" s="69"/>
      <c r="G34" s="70"/>
      <c r="H34" s="2"/>
      <c r="I34" s="8">
        <v>0</v>
      </c>
      <c r="J34" s="8">
        <v>0</v>
      </c>
      <c r="K34" s="4">
        <v>0</v>
      </c>
      <c r="L34" s="11">
        <f t="shared" si="4"/>
        <v>0</v>
      </c>
      <c r="M34" s="12">
        <v>1</v>
      </c>
      <c r="N34" s="12">
        <f t="shared" si="5"/>
        <v>0</v>
      </c>
      <c r="O34" s="5"/>
      <c r="P34" s="5"/>
    </row>
    <row r="35" spans="2:16" ht="13.8" x14ac:dyDescent="0.25">
      <c r="B35" s="1"/>
      <c r="C35" s="2"/>
      <c r="D35" s="2"/>
      <c r="E35" s="2"/>
      <c r="F35" s="69"/>
      <c r="G35" s="70"/>
      <c r="H35" s="2"/>
      <c r="I35" s="8">
        <v>0</v>
      </c>
      <c r="J35" s="8">
        <v>0</v>
      </c>
      <c r="K35" s="4">
        <v>0</v>
      </c>
      <c r="L35" s="11">
        <f t="shared" si="4"/>
        <v>0</v>
      </c>
      <c r="M35" s="12">
        <v>1</v>
      </c>
      <c r="N35" s="12">
        <f t="shared" si="5"/>
        <v>0</v>
      </c>
      <c r="O35" s="5"/>
      <c r="P35" s="5"/>
    </row>
    <row r="36" spans="2:16" ht="13.8" x14ac:dyDescent="0.25">
      <c r="B36" s="1"/>
      <c r="C36" s="2"/>
      <c r="D36" s="2"/>
      <c r="E36" s="2"/>
      <c r="F36" s="69"/>
      <c r="G36" s="70"/>
      <c r="H36" s="2"/>
      <c r="I36" s="8">
        <v>0</v>
      </c>
      <c r="J36" s="8">
        <v>0</v>
      </c>
      <c r="K36" s="4">
        <v>0</v>
      </c>
      <c r="L36" s="11">
        <f t="shared" si="4"/>
        <v>0</v>
      </c>
      <c r="M36" s="12">
        <v>1</v>
      </c>
      <c r="N36" s="12">
        <f t="shared" si="5"/>
        <v>0</v>
      </c>
      <c r="O36" s="5"/>
      <c r="P36" s="5"/>
    </row>
    <row r="37" spans="2:16" ht="13.8" x14ac:dyDescent="0.25">
      <c r="B37" s="1"/>
      <c r="C37" s="2"/>
      <c r="D37" s="2"/>
      <c r="E37" s="2"/>
      <c r="F37" s="69"/>
      <c r="G37" s="70"/>
      <c r="H37" s="2"/>
      <c r="I37" s="8">
        <v>0</v>
      </c>
      <c r="J37" s="8">
        <v>0</v>
      </c>
      <c r="K37" s="4">
        <v>0</v>
      </c>
      <c r="L37" s="11">
        <f t="shared" si="4"/>
        <v>0</v>
      </c>
      <c r="M37" s="12">
        <v>1</v>
      </c>
      <c r="N37" s="12">
        <f t="shared" si="5"/>
        <v>0</v>
      </c>
      <c r="O37" s="5"/>
      <c r="P37" s="5"/>
    </row>
    <row r="38" spans="2:16" ht="13.8" x14ac:dyDescent="0.25">
      <c r="B38" s="1"/>
      <c r="C38" s="2"/>
      <c r="D38" s="2"/>
      <c r="E38" s="2"/>
      <c r="F38" s="69"/>
      <c r="G38" s="70"/>
      <c r="H38" s="2"/>
      <c r="I38" s="8">
        <v>0</v>
      </c>
      <c r="J38" s="8">
        <v>0</v>
      </c>
      <c r="K38" s="4">
        <v>0</v>
      </c>
      <c r="L38" s="11">
        <f t="shared" si="4"/>
        <v>0</v>
      </c>
      <c r="M38" s="12">
        <v>1</v>
      </c>
      <c r="N38" s="12">
        <f t="shared" si="5"/>
        <v>0</v>
      </c>
      <c r="O38" s="5"/>
      <c r="P38" s="5"/>
    </row>
    <row r="39" spans="2:16" ht="13.8" x14ac:dyDescent="0.25">
      <c r="B39" s="1"/>
      <c r="C39" s="2"/>
      <c r="D39" s="2"/>
      <c r="E39" s="2"/>
      <c r="F39" s="69"/>
      <c r="G39" s="70"/>
      <c r="H39" s="2"/>
      <c r="I39" s="8">
        <v>0</v>
      </c>
      <c r="J39" s="8">
        <v>0</v>
      </c>
      <c r="K39" s="4">
        <v>0</v>
      </c>
      <c r="L39" s="11">
        <f t="shared" si="4"/>
        <v>0</v>
      </c>
      <c r="M39" s="12">
        <v>1</v>
      </c>
      <c r="N39" s="12">
        <f t="shared" si="5"/>
        <v>0</v>
      </c>
      <c r="O39" s="5"/>
      <c r="P39" s="5"/>
    </row>
    <row r="40" spans="2:16" ht="13.8" x14ac:dyDescent="0.25">
      <c r="B40" s="1"/>
      <c r="C40" s="2"/>
      <c r="D40" s="2"/>
      <c r="E40" s="2"/>
      <c r="F40" s="69"/>
      <c r="G40" s="70"/>
      <c r="H40" s="2"/>
      <c r="I40" s="8">
        <v>0</v>
      </c>
      <c r="J40" s="8">
        <v>0</v>
      </c>
      <c r="K40" s="4">
        <v>0</v>
      </c>
      <c r="L40" s="11">
        <f t="shared" si="4"/>
        <v>0</v>
      </c>
      <c r="M40" s="12">
        <v>1</v>
      </c>
      <c r="N40" s="12">
        <f t="shared" si="5"/>
        <v>0</v>
      </c>
      <c r="O40" s="5"/>
      <c r="P40" s="5"/>
    </row>
    <row r="41" spans="2:16" ht="13.8" x14ac:dyDescent="0.25">
      <c r="B41" s="1"/>
      <c r="C41" s="2"/>
      <c r="D41" s="2"/>
      <c r="E41" s="2"/>
      <c r="F41" s="69"/>
      <c r="G41" s="70"/>
      <c r="H41" s="2"/>
      <c r="I41" s="8">
        <v>0</v>
      </c>
      <c r="J41" s="8">
        <v>0</v>
      </c>
      <c r="K41" s="4">
        <v>0</v>
      </c>
      <c r="L41" s="11">
        <f t="shared" si="4"/>
        <v>0</v>
      </c>
      <c r="M41" s="12">
        <v>1</v>
      </c>
      <c r="N41" s="12">
        <f t="shared" si="5"/>
        <v>0</v>
      </c>
      <c r="O41" s="5"/>
      <c r="P41" s="5"/>
    </row>
    <row r="42" spans="2:16" ht="13.8" x14ac:dyDescent="0.25">
      <c r="B42" s="1"/>
      <c r="C42" s="2"/>
      <c r="D42" s="2"/>
      <c r="E42" s="2"/>
      <c r="F42" s="69"/>
      <c r="G42" s="70"/>
      <c r="H42" s="2"/>
      <c r="I42" s="8">
        <v>0</v>
      </c>
      <c r="J42" s="8">
        <v>0</v>
      </c>
      <c r="K42" s="4">
        <v>0</v>
      </c>
      <c r="L42" s="11">
        <f t="shared" si="4"/>
        <v>0</v>
      </c>
      <c r="M42" s="12">
        <v>1</v>
      </c>
      <c r="N42" s="12">
        <f t="shared" si="5"/>
        <v>0</v>
      </c>
      <c r="O42" s="5"/>
      <c r="P42" s="5"/>
    </row>
    <row r="43" spans="2:16" ht="13.8" x14ac:dyDescent="0.25">
      <c r="B43" s="1"/>
      <c r="C43" s="2"/>
      <c r="D43" s="2"/>
      <c r="E43" s="2"/>
      <c r="F43" s="69"/>
      <c r="G43" s="70"/>
      <c r="H43" s="2"/>
      <c r="I43" s="8">
        <v>0</v>
      </c>
      <c r="J43" s="8">
        <v>0</v>
      </c>
      <c r="K43" s="4">
        <v>0</v>
      </c>
      <c r="L43" s="11">
        <f t="shared" si="4"/>
        <v>0</v>
      </c>
      <c r="M43" s="12">
        <v>1</v>
      </c>
      <c r="N43" s="12">
        <f t="shared" si="5"/>
        <v>0</v>
      </c>
      <c r="O43" s="5"/>
      <c r="P43" s="5"/>
    </row>
    <row r="44" spans="2:16" ht="13.8" x14ac:dyDescent="0.25">
      <c r="B44" s="1"/>
      <c r="C44" s="2"/>
      <c r="D44" s="2"/>
      <c r="E44" s="2"/>
      <c r="F44" s="69"/>
      <c r="G44" s="70"/>
      <c r="H44" s="2"/>
      <c r="I44" s="8">
        <v>0</v>
      </c>
      <c r="J44" s="8">
        <v>0</v>
      </c>
      <c r="K44" s="4">
        <v>0</v>
      </c>
      <c r="L44" s="11">
        <f t="shared" si="4"/>
        <v>0</v>
      </c>
      <c r="M44" s="12">
        <v>1</v>
      </c>
      <c r="N44" s="12">
        <f t="shared" si="5"/>
        <v>0</v>
      </c>
      <c r="O44" s="5"/>
      <c r="P44" s="5"/>
    </row>
    <row r="45" spans="2:16" ht="13.8" x14ac:dyDescent="0.25">
      <c r="B45" s="1"/>
      <c r="C45" s="2"/>
      <c r="D45" s="2"/>
      <c r="E45" s="2"/>
      <c r="F45" s="69"/>
      <c r="G45" s="70"/>
      <c r="H45" s="2"/>
      <c r="I45" s="8">
        <v>0</v>
      </c>
      <c r="J45" s="8">
        <v>0</v>
      </c>
      <c r="K45" s="4">
        <v>0</v>
      </c>
      <c r="L45" s="11">
        <f t="shared" si="4"/>
        <v>0</v>
      </c>
      <c r="M45" s="12">
        <v>1</v>
      </c>
      <c r="N45" s="12">
        <f t="shared" si="5"/>
        <v>0</v>
      </c>
      <c r="O45" s="5"/>
      <c r="P45" s="5"/>
    </row>
    <row r="46" spans="2:16" ht="13.8" x14ac:dyDescent="0.25">
      <c r="B46" s="1"/>
      <c r="C46" s="2"/>
      <c r="D46" s="2"/>
      <c r="E46" s="2"/>
      <c r="F46" s="69"/>
      <c r="G46" s="70"/>
      <c r="H46" s="2"/>
      <c r="I46" s="8">
        <v>0</v>
      </c>
      <c r="J46" s="8">
        <v>0</v>
      </c>
      <c r="K46" s="4">
        <v>0</v>
      </c>
      <c r="L46" s="11">
        <f t="shared" si="4"/>
        <v>0</v>
      </c>
      <c r="M46" s="12">
        <v>1</v>
      </c>
      <c r="N46" s="12">
        <f t="shared" si="5"/>
        <v>0</v>
      </c>
      <c r="O46" s="5"/>
      <c r="P46" s="5"/>
    </row>
    <row r="47" spans="2:16" ht="13.8" x14ac:dyDescent="0.25">
      <c r="B47" s="1"/>
      <c r="C47" s="2"/>
      <c r="D47" s="2"/>
      <c r="E47" s="2"/>
      <c r="F47" s="69"/>
      <c r="G47" s="70"/>
      <c r="H47" s="2"/>
      <c r="I47" s="8">
        <v>0</v>
      </c>
      <c r="J47" s="8">
        <v>0</v>
      </c>
      <c r="K47" s="4">
        <v>0</v>
      </c>
      <c r="L47" s="11">
        <f t="shared" si="4"/>
        <v>0</v>
      </c>
      <c r="M47" s="12">
        <v>1</v>
      </c>
      <c r="N47" s="12">
        <f t="shared" si="5"/>
        <v>0</v>
      </c>
      <c r="O47" s="5"/>
      <c r="P47" s="5"/>
    </row>
    <row r="48" spans="2:16" ht="13.8" x14ac:dyDescent="0.25">
      <c r="B48" s="1"/>
      <c r="C48" s="2"/>
      <c r="D48" s="2"/>
      <c r="E48" s="2"/>
      <c r="F48" s="69"/>
      <c r="G48" s="70"/>
      <c r="H48" s="2"/>
      <c r="I48" s="8">
        <v>0</v>
      </c>
      <c r="J48" s="8">
        <v>0</v>
      </c>
      <c r="K48" s="4">
        <v>0</v>
      </c>
      <c r="L48" s="11">
        <f t="shared" si="4"/>
        <v>0</v>
      </c>
      <c r="M48" s="12">
        <v>1</v>
      </c>
      <c r="N48" s="12">
        <f t="shared" si="5"/>
        <v>0</v>
      </c>
      <c r="O48" s="5"/>
      <c r="P48" s="5"/>
    </row>
    <row r="49" spans="2:16" ht="13.8" x14ac:dyDescent="0.25">
      <c r="B49" s="1"/>
      <c r="C49" s="2"/>
      <c r="D49" s="2"/>
      <c r="E49" s="2"/>
      <c r="F49" s="69"/>
      <c r="G49" s="70"/>
      <c r="H49" s="2"/>
      <c r="I49" s="8">
        <v>0</v>
      </c>
      <c r="J49" s="8">
        <v>0</v>
      </c>
      <c r="K49" s="4">
        <v>0</v>
      </c>
      <c r="L49" s="11">
        <f t="shared" si="4"/>
        <v>0</v>
      </c>
      <c r="M49" s="12">
        <v>1</v>
      </c>
      <c r="N49" s="12">
        <f t="shared" si="5"/>
        <v>0</v>
      </c>
      <c r="O49" s="5"/>
      <c r="P49" s="5"/>
    </row>
    <row r="50" spans="2:16" ht="13.8" x14ac:dyDescent="0.25">
      <c r="B50" s="1"/>
      <c r="C50" s="2"/>
      <c r="D50" s="2"/>
      <c r="E50" s="2"/>
      <c r="F50" s="69"/>
      <c r="G50" s="70"/>
      <c r="H50" s="2"/>
      <c r="I50" s="8">
        <v>0</v>
      </c>
      <c r="J50" s="8">
        <v>0</v>
      </c>
      <c r="K50" s="4">
        <v>0</v>
      </c>
      <c r="L50" s="11">
        <f t="shared" si="4"/>
        <v>0</v>
      </c>
      <c r="M50" s="12">
        <v>1</v>
      </c>
      <c r="N50" s="12">
        <f t="shared" si="5"/>
        <v>0</v>
      </c>
      <c r="O50" s="5"/>
      <c r="P50" s="5"/>
    </row>
    <row r="51" spans="2:16" ht="13.8" x14ac:dyDescent="0.25">
      <c r="B51" s="1"/>
      <c r="C51" s="2"/>
      <c r="D51" s="2"/>
      <c r="E51" s="2"/>
      <c r="F51" s="69"/>
      <c r="G51" s="70"/>
      <c r="H51" s="2"/>
      <c r="I51" s="8">
        <v>0</v>
      </c>
      <c r="J51" s="8">
        <v>0</v>
      </c>
      <c r="K51" s="4">
        <v>0</v>
      </c>
      <c r="L51" s="11">
        <f t="shared" si="4"/>
        <v>0</v>
      </c>
      <c r="M51" s="12">
        <v>1</v>
      </c>
      <c r="N51" s="12">
        <f t="shared" si="5"/>
        <v>0</v>
      </c>
      <c r="O51" s="5"/>
      <c r="P51" s="5"/>
    </row>
    <row r="52" spans="2:16" ht="13.8" x14ac:dyDescent="0.25">
      <c r="B52" s="1"/>
      <c r="C52" s="2"/>
      <c r="D52" s="2"/>
      <c r="E52" s="2"/>
      <c r="F52" s="69"/>
      <c r="G52" s="70"/>
      <c r="H52" s="2"/>
      <c r="I52" s="8">
        <v>0</v>
      </c>
      <c r="J52" s="8">
        <v>0</v>
      </c>
      <c r="K52" s="4">
        <v>0</v>
      </c>
      <c r="L52" s="11">
        <f t="shared" si="4"/>
        <v>0</v>
      </c>
      <c r="M52" s="12">
        <v>1</v>
      </c>
      <c r="N52" s="12">
        <f t="shared" si="5"/>
        <v>0</v>
      </c>
      <c r="O52" s="5"/>
      <c r="P52" s="5"/>
    </row>
    <row r="53" spans="2:16" ht="13.8" x14ac:dyDescent="0.25">
      <c r="B53" s="1"/>
      <c r="C53" s="2"/>
      <c r="D53" s="2"/>
      <c r="E53" s="2"/>
      <c r="F53" s="69"/>
      <c r="G53" s="70"/>
      <c r="H53" s="2"/>
      <c r="I53" s="8">
        <v>0</v>
      </c>
      <c r="J53" s="8">
        <v>0</v>
      </c>
      <c r="K53" s="4">
        <v>0</v>
      </c>
      <c r="L53" s="11">
        <f t="shared" si="4"/>
        <v>0</v>
      </c>
      <c r="M53" s="12">
        <v>1</v>
      </c>
      <c r="N53" s="12">
        <f t="shared" si="5"/>
        <v>0</v>
      </c>
      <c r="O53" s="5"/>
      <c r="P53" s="5"/>
    </row>
    <row r="54" spans="2:16" ht="13.8" x14ac:dyDescent="0.25">
      <c r="B54" s="1"/>
      <c r="C54" s="2"/>
      <c r="D54" s="2"/>
      <c r="E54" s="2"/>
      <c r="F54" s="69"/>
      <c r="G54" s="70"/>
      <c r="H54" s="2"/>
      <c r="I54" s="8">
        <v>0</v>
      </c>
      <c r="J54" s="8">
        <v>0</v>
      </c>
      <c r="K54" s="4">
        <v>0</v>
      </c>
      <c r="L54" s="11">
        <f t="shared" si="4"/>
        <v>0</v>
      </c>
      <c r="M54" s="12">
        <v>1</v>
      </c>
      <c r="N54" s="12">
        <f t="shared" si="5"/>
        <v>0</v>
      </c>
      <c r="O54" s="5"/>
      <c r="P54" s="5"/>
    </row>
    <row r="55" spans="2:16" ht="13.8" x14ac:dyDescent="0.25">
      <c r="B55" s="1"/>
      <c r="C55" s="2"/>
      <c r="D55" s="2"/>
      <c r="E55" s="2"/>
      <c r="F55" s="69"/>
      <c r="G55" s="70"/>
      <c r="H55" s="2"/>
      <c r="I55" s="8">
        <v>0</v>
      </c>
      <c r="J55" s="8">
        <v>0</v>
      </c>
      <c r="K55" s="4">
        <v>0</v>
      </c>
      <c r="L55" s="11">
        <f t="shared" si="4"/>
        <v>0</v>
      </c>
      <c r="M55" s="12">
        <v>1</v>
      </c>
      <c r="N55" s="12">
        <f t="shared" si="5"/>
        <v>0</v>
      </c>
      <c r="O55" s="5"/>
      <c r="P55" s="5"/>
    </row>
    <row r="56" spans="2:16" ht="13.8" x14ac:dyDescent="0.25">
      <c r="B56" s="1"/>
      <c r="C56" s="2"/>
      <c r="D56" s="2"/>
      <c r="E56" s="2"/>
      <c r="F56" s="69"/>
      <c r="G56" s="70"/>
      <c r="H56" s="2"/>
      <c r="I56" s="8">
        <v>0</v>
      </c>
      <c r="J56" s="8">
        <v>0</v>
      </c>
      <c r="K56" s="4">
        <v>0</v>
      </c>
      <c r="L56" s="11">
        <f t="shared" si="4"/>
        <v>0</v>
      </c>
      <c r="M56" s="12">
        <v>1</v>
      </c>
      <c r="N56" s="12">
        <f t="shared" si="5"/>
        <v>0</v>
      </c>
      <c r="O56" s="5"/>
      <c r="P56" s="5"/>
    </row>
    <row r="57" spans="2:16" ht="13.8" x14ac:dyDescent="0.25">
      <c r="B57" s="1"/>
      <c r="C57" s="2"/>
      <c r="D57" s="2"/>
      <c r="E57" s="2"/>
      <c r="F57" s="69"/>
      <c r="G57" s="70"/>
      <c r="H57" s="2"/>
      <c r="I57" s="8">
        <v>0</v>
      </c>
      <c r="J57" s="8">
        <v>0</v>
      </c>
      <c r="K57" s="4">
        <v>0</v>
      </c>
      <c r="L57" s="11">
        <f t="shared" si="4"/>
        <v>0</v>
      </c>
      <c r="M57" s="12">
        <v>1</v>
      </c>
      <c r="N57" s="12">
        <f t="shared" si="5"/>
        <v>0</v>
      </c>
      <c r="O57" s="5"/>
      <c r="P57" s="5"/>
    </row>
    <row r="58" spans="2:16" ht="13.8" x14ac:dyDescent="0.25">
      <c r="B58" s="1"/>
      <c r="C58" s="2"/>
      <c r="D58" s="2"/>
      <c r="E58" s="2"/>
      <c r="F58" s="69"/>
      <c r="G58" s="70"/>
      <c r="H58" s="2"/>
      <c r="I58" s="8">
        <v>0</v>
      </c>
      <c r="J58" s="8">
        <v>0</v>
      </c>
      <c r="K58" s="4">
        <v>0</v>
      </c>
      <c r="L58" s="11">
        <f t="shared" si="4"/>
        <v>0</v>
      </c>
      <c r="M58" s="12">
        <v>1</v>
      </c>
      <c r="N58" s="12">
        <f t="shared" si="5"/>
        <v>0</v>
      </c>
      <c r="O58" s="5"/>
      <c r="P58" s="5"/>
    </row>
    <row r="59" spans="2:16" ht="13.8" x14ac:dyDescent="0.25">
      <c r="B59" s="1"/>
      <c r="C59" s="2"/>
      <c r="D59" s="2"/>
      <c r="E59" s="2"/>
      <c r="F59" s="69"/>
      <c r="G59" s="70"/>
      <c r="H59" s="2"/>
      <c r="I59" s="8">
        <v>0</v>
      </c>
      <c r="J59" s="8">
        <v>0</v>
      </c>
      <c r="K59" s="4">
        <v>0</v>
      </c>
      <c r="L59" s="11">
        <f t="shared" si="4"/>
        <v>0</v>
      </c>
      <c r="M59" s="12">
        <v>1</v>
      </c>
      <c r="N59" s="12">
        <f t="shared" si="5"/>
        <v>0</v>
      </c>
      <c r="O59" s="5"/>
      <c r="P59" s="5"/>
    </row>
    <row r="60" spans="2:16" ht="13.8" x14ac:dyDescent="0.25">
      <c r="B60" s="1"/>
      <c r="C60" s="2"/>
      <c r="D60" s="2"/>
      <c r="E60" s="2"/>
      <c r="F60" s="69"/>
      <c r="G60" s="70"/>
      <c r="H60" s="2"/>
      <c r="I60" s="8">
        <v>0</v>
      </c>
      <c r="J60" s="8">
        <v>0</v>
      </c>
      <c r="K60" s="4">
        <v>0</v>
      </c>
      <c r="L60" s="11">
        <f t="shared" si="4"/>
        <v>0</v>
      </c>
      <c r="M60" s="12">
        <v>1</v>
      </c>
      <c r="N60" s="12">
        <f t="shared" si="5"/>
        <v>0</v>
      </c>
      <c r="O60" s="5"/>
      <c r="P60" s="5"/>
    </row>
    <row r="61" spans="2:16" ht="13.8" x14ac:dyDescent="0.25">
      <c r="B61" s="1"/>
      <c r="C61" s="2"/>
      <c r="D61" s="2"/>
      <c r="E61" s="2"/>
      <c r="F61" s="69"/>
      <c r="G61" s="70"/>
      <c r="H61" s="2"/>
      <c r="I61" s="8">
        <v>0</v>
      </c>
      <c r="J61" s="8">
        <v>0</v>
      </c>
      <c r="K61" s="4">
        <v>0</v>
      </c>
      <c r="L61" s="11">
        <f t="shared" si="4"/>
        <v>0</v>
      </c>
      <c r="M61" s="12">
        <v>1</v>
      </c>
      <c r="N61" s="12">
        <f t="shared" si="5"/>
        <v>0</v>
      </c>
      <c r="O61" s="5"/>
      <c r="P61" s="5"/>
    </row>
    <row r="62" spans="2:16" ht="13.8" x14ac:dyDescent="0.25">
      <c r="B62" s="1"/>
      <c r="C62" s="2"/>
      <c r="D62" s="2"/>
      <c r="E62" s="2"/>
      <c r="F62" s="69"/>
      <c r="G62" s="70"/>
      <c r="H62" s="2"/>
      <c r="I62" s="8">
        <v>0</v>
      </c>
      <c r="J62" s="8">
        <v>0</v>
      </c>
      <c r="K62" s="4">
        <v>0</v>
      </c>
      <c r="L62" s="11">
        <f t="shared" si="4"/>
        <v>0</v>
      </c>
      <c r="M62" s="12">
        <v>1</v>
      </c>
      <c r="N62" s="12">
        <f t="shared" si="5"/>
        <v>0</v>
      </c>
      <c r="O62" s="5"/>
      <c r="P62" s="5"/>
    </row>
    <row r="63" spans="2:16" ht="13.8" x14ac:dyDescent="0.25">
      <c r="B63" s="1"/>
      <c r="C63" s="2"/>
      <c r="D63" s="2"/>
      <c r="E63" s="2"/>
      <c r="F63" s="69"/>
      <c r="G63" s="70"/>
      <c r="H63" s="2"/>
      <c r="I63" s="8">
        <v>0</v>
      </c>
      <c r="J63" s="8">
        <v>0</v>
      </c>
      <c r="K63" s="4">
        <v>0</v>
      </c>
      <c r="L63" s="11">
        <f t="shared" si="4"/>
        <v>0</v>
      </c>
      <c r="M63" s="12">
        <v>1</v>
      </c>
      <c r="N63" s="12">
        <f t="shared" si="5"/>
        <v>0</v>
      </c>
      <c r="O63" s="5"/>
      <c r="P63" s="5"/>
    </row>
    <row r="64" spans="2:16" ht="13.8" x14ac:dyDescent="0.25">
      <c r="B64" s="1"/>
      <c r="C64" s="2"/>
      <c r="D64" s="2"/>
      <c r="E64" s="2"/>
      <c r="F64" s="69"/>
      <c r="G64" s="70"/>
      <c r="H64" s="2"/>
      <c r="I64" s="8">
        <v>0</v>
      </c>
      <c r="J64" s="8">
        <v>0</v>
      </c>
      <c r="K64" s="4">
        <v>0</v>
      </c>
      <c r="L64" s="11">
        <f t="shared" si="4"/>
        <v>0</v>
      </c>
      <c r="M64" s="12">
        <v>1</v>
      </c>
      <c r="N64" s="12">
        <f t="shared" si="5"/>
        <v>0</v>
      </c>
      <c r="O64" s="5"/>
      <c r="P64" s="5"/>
    </row>
    <row r="65" spans="2:16" ht="13.8" x14ac:dyDescent="0.25">
      <c r="B65" s="1"/>
      <c r="C65" s="2"/>
      <c r="D65" s="2"/>
      <c r="E65" s="2"/>
      <c r="F65" s="69"/>
      <c r="G65" s="70"/>
      <c r="H65" s="2"/>
      <c r="I65" s="8">
        <v>0</v>
      </c>
      <c r="J65" s="8">
        <v>0</v>
      </c>
      <c r="K65" s="4">
        <v>0</v>
      </c>
      <c r="L65" s="11">
        <f t="shared" si="4"/>
        <v>0</v>
      </c>
      <c r="M65" s="12">
        <v>1</v>
      </c>
      <c r="N65" s="12">
        <f t="shared" si="5"/>
        <v>0</v>
      </c>
      <c r="O65" s="5"/>
      <c r="P65" s="5"/>
    </row>
    <row r="66" spans="2:16" ht="13.8" x14ac:dyDescent="0.25">
      <c r="B66" s="1"/>
      <c r="C66" s="2"/>
      <c r="D66" s="2"/>
      <c r="E66" s="2"/>
      <c r="F66" s="69"/>
      <c r="G66" s="70"/>
      <c r="H66" s="2"/>
      <c r="I66" s="8">
        <v>0</v>
      </c>
      <c r="J66" s="8">
        <v>0</v>
      </c>
      <c r="K66" s="4">
        <v>0</v>
      </c>
      <c r="L66" s="11">
        <f t="shared" si="4"/>
        <v>0</v>
      </c>
      <c r="M66" s="12">
        <v>1</v>
      </c>
      <c r="N66" s="12">
        <f t="shared" si="5"/>
        <v>0</v>
      </c>
      <c r="O66" s="5"/>
      <c r="P66" s="5"/>
    </row>
    <row r="67" spans="2:16" ht="13.8" x14ac:dyDescent="0.25">
      <c r="B67" s="1"/>
      <c r="C67" s="2"/>
      <c r="D67" s="2"/>
      <c r="E67" s="2"/>
      <c r="F67" s="69"/>
      <c r="G67" s="70"/>
      <c r="H67" s="2"/>
      <c r="I67" s="8">
        <v>0</v>
      </c>
      <c r="J67" s="8">
        <v>0</v>
      </c>
      <c r="K67" s="4">
        <v>0</v>
      </c>
      <c r="L67" s="11">
        <f t="shared" si="4"/>
        <v>0</v>
      </c>
      <c r="M67" s="12">
        <v>1</v>
      </c>
      <c r="N67" s="12">
        <f t="shared" si="5"/>
        <v>0</v>
      </c>
      <c r="O67" s="5"/>
      <c r="P67" s="5"/>
    </row>
    <row r="68" spans="2:16" ht="13.8" x14ac:dyDescent="0.25">
      <c r="B68" s="1"/>
      <c r="C68" s="2"/>
      <c r="D68" s="2"/>
      <c r="E68" s="2"/>
      <c r="F68" s="69"/>
      <c r="G68" s="70"/>
      <c r="H68" s="2"/>
      <c r="I68" s="8">
        <v>0</v>
      </c>
      <c r="J68" s="8">
        <v>0</v>
      </c>
      <c r="K68" s="4">
        <v>0</v>
      </c>
      <c r="L68" s="11">
        <f t="shared" si="4"/>
        <v>0</v>
      </c>
      <c r="M68" s="12">
        <v>1</v>
      </c>
      <c r="N68" s="12">
        <f t="shared" si="5"/>
        <v>0</v>
      </c>
      <c r="O68" s="5"/>
      <c r="P68" s="5"/>
    </row>
    <row r="69" spans="2:16" ht="13.8" x14ac:dyDescent="0.25">
      <c r="B69" s="1"/>
      <c r="C69" s="2"/>
      <c r="D69" s="2"/>
      <c r="E69" s="2"/>
      <c r="F69" s="69"/>
      <c r="G69" s="70"/>
      <c r="H69" s="2"/>
      <c r="I69" s="8">
        <v>0</v>
      </c>
      <c r="J69" s="8">
        <v>0</v>
      </c>
      <c r="K69" s="4">
        <v>0</v>
      </c>
      <c r="L69" s="11">
        <f t="shared" si="4"/>
        <v>0</v>
      </c>
      <c r="M69" s="12">
        <v>1</v>
      </c>
      <c r="N69" s="12">
        <f t="shared" si="5"/>
        <v>0</v>
      </c>
      <c r="O69" s="5"/>
      <c r="P69" s="5"/>
    </row>
    <row r="70" spans="2:16" ht="13.8" x14ac:dyDescent="0.25">
      <c r="B70" s="1"/>
      <c r="C70" s="2"/>
      <c r="D70" s="2"/>
      <c r="E70" s="2"/>
      <c r="F70" s="69"/>
      <c r="G70" s="70"/>
      <c r="H70" s="2"/>
      <c r="I70" s="8">
        <v>0</v>
      </c>
      <c r="J70" s="8">
        <v>0</v>
      </c>
      <c r="K70" s="4">
        <v>0</v>
      </c>
      <c r="L70" s="11">
        <f t="shared" si="4"/>
        <v>0</v>
      </c>
      <c r="M70" s="12">
        <v>1</v>
      </c>
      <c r="N70" s="12">
        <f t="shared" si="5"/>
        <v>0</v>
      </c>
      <c r="O70" s="5"/>
      <c r="P70" s="5"/>
    </row>
    <row r="71" spans="2:16" ht="13.8" x14ac:dyDescent="0.25">
      <c r="B71" s="1"/>
      <c r="C71" s="2"/>
      <c r="D71" s="2"/>
      <c r="E71" s="2"/>
      <c r="F71" s="69"/>
      <c r="G71" s="70"/>
      <c r="H71" s="2"/>
      <c r="I71" s="8">
        <v>0</v>
      </c>
      <c r="J71" s="8">
        <v>0</v>
      </c>
      <c r="K71" s="4">
        <v>0</v>
      </c>
      <c r="L71" s="11">
        <f t="shared" si="4"/>
        <v>0</v>
      </c>
      <c r="M71" s="12">
        <v>1</v>
      </c>
      <c r="N71" s="12">
        <f t="shared" si="5"/>
        <v>0</v>
      </c>
      <c r="O71" s="5"/>
      <c r="P71" s="5"/>
    </row>
    <row r="72" spans="2:16" ht="13.8" x14ac:dyDescent="0.25">
      <c r="B72" s="1"/>
      <c r="C72" s="2"/>
      <c r="D72" s="2"/>
      <c r="E72" s="2"/>
      <c r="F72" s="69"/>
      <c r="G72" s="70"/>
      <c r="H72" s="2"/>
      <c r="I72" s="8">
        <v>0</v>
      </c>
      <c r="J72" s="8">
        <v>0</v>
      </c>
      <c r="K72" s="4">
        <v>0</v>
      </c>
      <c r="L72" s="11">
        <f t="shared" si="4"/>
        <v>0</v>
      </c>
      <c r="M72" s="12">
        <v>1</v>
      </c>
      <c r="N72" s="12">
        <f t="shared" si="5"/>
        <v>0</v>
      </c>
      <c r="O72" s="5"/>
      <c r="P72" s="5"/>
    </row>
    <row r="73" spans="2:16" ht="13.8" x14ac:dyDescent="0.25">
      <c r="B73" s="1"/>
      <c r="C73" s="2"/>
      <c r="D73" s="2"/>
      <c r="E73" s="2"/>
      <c r="F73" s="69"/>
      <c r="G73" s="70"/>
      <c r="H73" s="2"/>
      <c r="I73" s="8">
        <v>0</v>
      </c>
      <c r="J73" s="8">
        <v>0</v>
      </c>
      <c r="K73" s="4">
        <v>0</v>
      </c>
      <c r="L73" s="11">
        <f t="shared" si="4"/>
        <v>0</v>
      </c>
      <c r="M73" s="12">
        <v>1</v>
      </c>
      <c r="N73" s="12">
        <f t="shared" si="5"/>
        <v>0</v>
      </c>
      <c r="O73" s="5"/>
      <c r="P73" s="5"/>
    </row>
    <row r="74" spans="2:16" ht="13.8" x14ac:dyDescent="0.25">
      <c r="B74" s="1"/>
      <c r="C74" s="2"/>
      <c r="D74" s="2"/>
      <c r="E74" s="2"/>
      <c r="F74" s="69"/>
      <c r="G74" s="70"/>
      <c r="H74" s="2"/>
      <c r="I74" s="8">
        <v>0</v>
      </c>
      <c r="J74" s="8">
        <v>0</v>
      </c>
      <c r="K74" s="4">
        <v>0</v>
      </c>
      <c r="L74" s="11">
        <f t="shared" si="4"/>
        <v>0</v>
      </c>
      <c r="M74" s="12">
        <v>1</v>
      </c>
      <c r="N74" s="12">
        <f t="shared" si="5"/>
        <v>0</v>
      </c>
      <c r="O74" s="5"/>
      <c r="P74" s="5"/>
    </row>
    <row r="75" spans="2:16" ht="13.8" x14ac:dyDescent="0.25">
      <c r="B75" s="1"/>
      <c r="C75" s="2"/>
      <c r="D75" s="2"/>
      <c r="E75" s="2"/>
      <c r="F75" s="69"/>
      <c r="G75" s="70"/>
      <c r="H75" s="2"/>
      <c r="I75" s="8">
        <v>0</v>
      </c>
      <c r="J75" s="8">
        <v>0</v>
      </c>
      <c r="K75" s="4">
        <v>0</v>
      </c>
      <c r="L75" s="11">
        <f t="shared" si="4"/>
        <v>0</v>
      </c>
      <c r="M75" s="12">
        <v>1</v>
      </c>
      <c r="N75" s="12">
        <f t="shared" si="5"/>
        <v>0</v>
      </c>
      <c r="O75" s="5"/>
      <c r="P75" s="5"/>
    </row>
    <row r="76" spans="2:16" ht="13.8" x14ac:dyDescent="0.25">
      <c r="B76" s="1"/>
      <c r="C76" s="2"/>
      <c r="D76" s="2"/>
      <c r="E76" s="2"/>
      <c r="F76" s="69"/>
      <c r="G76" s="70"/>
      <c r="H76" s="2"/>
      <c r="I76" s="8">
        <v>0</v>
      </c>
      <c r="J76" s="8">
        <v>0</v>
      </c>
      <c r="K76" s="4">
        <v>0</v>
      </c>
      <c r="L76" s="11">
        <f t="shared" si="4"/>
        <v>0</v>
      </c>
      <c r="M76" s="12">
        <v>1</v>
      </c>
      <c r="N76" s="12">
        <f t="shared" si="5"/>
        <v>0</v>
      </c>
      <c r="O76" s="5"/>
      <c r="P76" s="5"/>
    </row>
    <row r="77" spans="2:16" ht="13.8" x14ac:dyDescent="0.25">
      <c r="B77" s="1"/>
      <c r="C77" s="2"/>
      <c r="D77" s="2"/>
      <c r="E77" s="2"/>
      <c r="F77" s="69"/>
      <c r="G77" s="70"/>
      <c r="H77" s="2"/>
      <c r="I77" s="8">
        <v>0</v>
      </c>
      <c r="J77" s="8">
        <v>0</v>
      </c>
      <c r="K77" s="4">
        <v>0</v>
      </c>
      <c r="L77" s="11">
        <f t="shared" si="4"/>
        <v>0</v>
      </c>
      <c r="M77" s="12">
        <v>1</v>
      </c>
      <c r="N77" s="12">
        <f t="shared" si="5"/>
        <v>0</v>
      </c>
      <c r="O77" s="5"/>
      <c r="P77" s="5"/>
    </row>
    <row r="78" spans="2:16" ht="13.8" x14ac:dyDescent="0.25">
      <c r="B78" s="1"/>
      <c r="C78" s="2"/>
      <c r="D78" s="2"/>
      <c r="E78" s="2"/>
      <c r="F78" s="69"/>
      <c r="G78" s="70"/>
      <c r="H78" s="2"/>
      <c r="I78" s="8">
        <v>0</v>
      </c>
      <c r="J78" s="8">
        <v>0</v>
      </c>
      <c r="K78" s="4">
        <v>0</v>
      </c>
      <c r="L78" s="11">
        <f t="shared" si="4"/>
        <v>0</v>
      </c>
      <c r="M78" s="12">
        <v>1</v>
      </c>
      <c r="N78" s="12">
        <f t="shared" si="5"/>
        <v>0</v>
      </c>
      <c r="O78" s="5"/>
      <c r="P78" s="5"/>
    </row>
    <row r="79" spans="2:16" ht="13.8" x14ac:dyDescent="0.25">
      <c r="B79" s="1"/>
      <c r="C79" s="2"/>
      <c r="D79" s="2"/>
      <c r="E79" s="2"/>
      <c r="F79" s="69"/>
      <c r="G79" s="70"/>
      <c r="H79" s="2"/>
      <c r="I79" s="8">
        <v>0</v>
      </c>
      <c r="J79" s="8">
        <v>0</v>
      </c>
      <c r="K79" s="4">
        <v>0</v>
      </c>
      <c r="L79" s="11">
        <f t="shared" si="4"/>
        <v>0</v>
      </c>
      <c r="M79" s="12">
        <v>1</v>
      </c>
      <c r="N79" s="12">
        <f t="shared" si="5"/>
        <v>0</v>
      </c>
      <c r="O79" s="5"/>
      <c r="P79" s="5"/>
    </row>
    <row r="80" spans="2:16" ht="13.8" x14ac:dyDescent="0.25">
      <c r="B80" s="1"/>
      <c r="C80" s="2"/>
      <c r="D80" s="2"/>
      <c r="E80" s="2"/>
      <c r="F80" s="69"/>
      <c r="G80" s="70"/>
      <c r="H80" s="2"/>
      <c r="I80" s="8">
        <v>0</v>
      </c>
      <c r="J80" s="8">
        <v>0</v>
      </c>
      <c r="K80" s="4">
        <v>0</v>
      </c>
      <c r="L80" s="11">
        <f t="shared" si="4"/>
        <v>0</v>
      </c>
      <c r="M80" s="12">
        <v>1</v>
      </c>
      <c r="N80" s="12">
        <f t="shared" si="5"/>
        <v>0</v>
      </c>
      <c r="O80" s="5"/>
      <c r="P80" s="5"/>
    </row>
    <row r="81" spans="2:16" ht="13.8" x14ac:dyDescent="0.25">
      <c r="B81" s="1"/>
      <c r="C81" s="2"/>
      <c r="D81" s="2"/>
      <c r="E81" s="2"/>
      <c r="F81" s="69"/>
      <c r="G81" s="70"/>
      <c r="H81" s="2"/>
      <c r="I81" s="8">
        <v>0</v>
      </c>
      <c r="J81" s="8">
        <v>0</v>
      </c>
      <c r="K81" s="4">
        <v>0</v>
      </c>
      <c r="L81" s="11">
        <f t="shared" si="4"/>
        <v>0</v>
      </c>
      <c r="M81" s="12">
        <v>1</v>
      </c>
      <c r="N81" s="12">
        <f t="shared" si="5"/>
        <v>0</v>
      </c>
      <c r="O81" s="5"/>
      <c r="P81" s="5"/>
    </row>
    <row r="82" spans="2:16" ht="13.8" x14ac:dyDescent="0.25">
      <c r="B82" s="1"/>
      <c r="C82" s="2"/>
      <c r="D82" s="2"/>
      <c r="E82" s="2"/>
      <c r="F82" s="69"/>
      <c r="G82" s="70"/>
      <c r="H82" s="2"/>
      <c r="I82" s="8">
        <v>0</v>
      </c>
      <c r="J82" s="8">
        <v>0</v>
      </c>
      <c r="K82" s="4">
        <v>0</v>
      </c>
      <c r="L82" s="11">
        <f t="shared" si="4"/>
        <v>0</v>
      </c>
      <c r="M82" s="12">
        <v>1</v>
      </c>
      <c r="N82" s="12">
        <f t="shared" si="5"/>
        <v>0</v>
      </c>
      <c r="O82" s="5"/>
      <c r="P82" s="5"/>
    </row>
    <row r="83" spans="2:16" ht="13.8" x14ac:dyDescent="0.25">
      <c r="B83" s="1"/>
      <c r="C83" s="2"/>
      <c r="D83" s="2"/>
      <c r="E83" s="2"/>
      <c r="F83" s="69"/>
      <c r="G83" s="70"/>
      <c r="H83" s="2"/>
      <c r="I83" s="8">
        <v>0</v>
      </c>
      <c r="J83" s="8">
        <v>0</v>
      </c>
      <c r="K83" s="4">
        <v>0</v>
      </c>
      <c r="L83" s="11">
        <f t="shared" si="4"/>
        <v>0</v>
      </c>
      <c r="M83" s="12">
        <v>1</v>
      </c>
      <c r="N83" s="12">
        <f t="shared" si="5"/>
        <v>0</v>
      </c>
      <c r="O83" s="5"/>
      <c r="P83" s="5"/>
    </row>
    <row r="84" spans="2:16" ht="13.8" x14ac:dyDescent="0.25">
      <c r="B84" s="1"/>
      <c r="C84" s="2"/>
      <c r="D84" s="2"/>
      <c r="E84" s="2"/>
      <c r="F84" s="69"/>
      <c r="G84" s="70"/>
      <c r="H84" s="2"/>
      <c r="I84" s="8">
        <v>0</v>
      </c>
      <c r="J84" s="8">
        <v>0</v>
      </c>
      <c r="K84" s="4">
        <v>0</v>
      </c>
      <c r="L84" s="11">
        <f t="shared" si="4"/>
        <v>0</v>
      </c>
      <c r="M84" s="12">
        <v>1</v>
      </c>
      <c r="N84" s="12">
        <f t="shared" si="5"/>
        <v>0</v>
      </c>
      <c r="O84" s="5"/>
      <c r="P84" s="5"/>
    </row>
    <row r="85" spans="2:16" ht="13.8" x14ac:dyDescent="0.25">
      <c r="B85" s="1"/>
      <c r="C85" s="2"/>
      <c r="D85" s="2"/>
      <c r="E85" s="2"/>
      <c r="F85" s="69"/>
      <c r="G85" s="70"/>
      <c r="H85" s="2"/>
      <c r="I85" s="8">
        <v>0</v>
      </c>
      <c r="J85" s="8">
        <v>0</v>
      </c>
      <c r="K85" s="4">
        <v>0</v>
      </c>
      <c r="L85" s="11">
        <f t="shared" si="4"/>
        <v>0</v>
      </c>
      <c r="M85" s="12">
        <v>1</v>
      </c>
      <c r="N85" s="12">
        <f t="shared" si="5"/>
        <v>0</v>
      </c>
      <c r="O85" s="5"/>
      <c r="P85" s="5"/>
    </row>
    <row r="86" spans="2:16" ht="13.8" x14ac:dyDescent="0.25">
      <c r="B86" s="1"/>
      <c r="C86" s="2"/>
      <c r="D86" s="2"/>
      <c r="E86" s="2"/>
      <c r="F86" s="69"/>
      <c r="G86" s="70"/>
      <c r="H86" s="2"/>
      <c r="I86" s="8">
        <v>0</v>
      </c>
      <c r="J86" s="8">
        <v>0</v>
      </c>
      <c r="K86" s="4">
        <v>0</v>
      </c>
      <c r="L86" s="11">
        <f t="shared" si="4"/>
        <v>0</v>
      </c>
      <c r="M86" s="12">
        <v>1</v>
      </c>
      <c r="N86" s="12">
        <f t="shared" si="5"/>
        <v>0</v>
      </c>
      <c r="O86" s="5"/>
      <c r="P86" s="5"/>
    </row>
  </sheetData>
  <mergeCells count="105">
    <mergeCell ref="F85:G85"/>
    <mergeCell ref="F86:G86"/>
    <mergeCell ref="F80:G80"/>
    <mergeCell ref="F81:G81"/>
    <mergeCell ref="F82:G82"/>
    <mergeCell ref="F83:G83"/>
    <mergeCell ref="F84:G84"/>
    <mergeCell ref="F75:G75"/>
    <mergeCell ref="F76:G76"/>
    <mergeCell ref="F77:G77"/>
    <mergeCell ref="F78:G78"/>
    <mergeCell ref="F79:G79"/>
    <mergeCell ref="F70:G70"/>
    <mergeCell ref="F71:G71"/>
    <mergeCell ref="F72:G72"/>
    <mergeCell ref="F73:G73"/>
    <mergeCell ref="F74:G74"/>
    <mergeCell ref="F65:G65"/>
    <mergeCell ref="F66:G66"/>
    <mergeCell ref="F67:G67"/>
    <mergeCell ref="F68:G68"/>
    <mergeCell ref="F69:G69"/>
    <mergeCell ref="F60:G60"/>
    <mergeCell ref="F61:G61"/>
    <mergeCell ref="F62:G62"/>
    <mergeCell ref="F63:G63"/>
    <mergeCell ref="F64:G64"/>
    <mergeCell ref="F55:G55"/>
    <mergeCell ref="F56:G56"/>
    <mergeCell ref="F57:G57"/>
    <mergeCell ref="F58:G58"/>
    <mergeCell ref="F59:G59"/>
    <mergeCell ref="F50:G50"/>
    <mergeCell ref="F51:G51"/>
    <mergeCell ref="F52:G52"/>
    <mergeCell ref="F53:G53"/>
    <mergeCell ref="F54:G54"/>
    <mergeCell ref="F45:G45"/>
    <mergeCell ref="F46:G46"/>
    <mergeCell ref="F47:G47"/>
    <mergeCell ref="F48:G48"/>
    <mergeCell ref="F49:G49"/>
    <mergeCell ref="F40:G40"/>
    <mergeCell ref="F41:G41"/>
    <mergeCell ref="F42:G42"/>
    <mergeCell ref="F43:G43"/>
    <mergeCell ref="F44:G44"/>
    <mergeCell ref="F35:G35"/>
    <mergeCell ref="F36:G36"/>
    <mergeCell ref="F37:G37"/>
    <mergeCell ref="F38:G38"/>
    <mergeCell ref="F39:G39"/>
    <mergeCell ref="F30:G30"/>
    <mergeCell ref="F31:G31"/>
    <mergeCell ref="F32:G32"/>
    <mergeCell ref="F33:G33"/>
    <mergeCell ref="F34:G34"/>
    <mergeCell ref="F25:G25"/>
    <mergeCell ref="F26:G26"/>
    <mergeCell ref="F27:G27"/>
    <mergeCell ref="F28:G28"/>
    <mergeCell ref="F29:G29"/>
    <mergeCell ref="F23:G23"/>
    <mergeCell ref="F24:G24"/>
    <mergeCell ref="C12:C17"/>
    <mergeCell ref="F16:G16"/>
    <mergeCell ref="F17:G17"/>
    <mergeCell ref="F18:G18"/>
    <mergeCell ref="F19:G19"/>
    <mergeCell ref="F20:G20"/>
    <mergeCell ref="F12:G12"/>
    <mergeCell ref="F13:G13"/>
    <mergeCell ref="F7:G7"/>
    <mergeCell ref="F8:G8"/>
    <mergeCell ref="F9:G9"/>
    <mergeCell ref="F14:G14"/>
    <mergeCell ref="F15:G15"/>
    <mergeCell ref="B1:C2"/>
    <mergeCell ref="D1:N2"/>
    <mergeCell ref="F21:G21"/>
    <mergeCell ref="F22:G22"/>
    <mergeCell ref="O1:P1"/>
    <mergeCell ref="O2:P2"/>
    <mergeCell ref="B3:H3"/>
    <mergeCell ref="I3:N3"/>
    <mergeCell ref="O3:P3"/>
    <mergeCell ref="B19:B25"/>
    <mergeCell ref="C19:C25"/>
    <mergeCell ref="D19:D25"/>
    <mergeCell ref="B4:N4"/>
    <mergeCell ref="O4:P4"/>
    <mergeCell ref="B5:B6"/>
    <mergeCell ref="C5:C6"/>
    <mergeCell ref="D5:D6"/>
    <mergeCell ref="E5:E6"/>
    <mergeCell ref="F5:G6"/>
    <mergeCell ref="H5:H6"/>
    <mergeCell ref="I5:K5"/>
    <mergeCell ref="L5:N5"/>
    <mergeCell ref="O5:O6"/>
    <mergeCell ref="P5:P6"/>
    <mergeCell ref="B7:B11"/>
    <mergeCell ref="F11:G11"/>
    <mergeCell ref="F10:G10"/>
    <mergeCell ref="B12:B18"/>
  </mergeCells>
  <phoneticPr fontId="12" type="noConversion"/>
  <pageMargins left="0.19685039370078741" right="0" top="0.19685039370078741" bottom="0" header="0" footer="0"/>
  <pageSetup paperSize="9" scale="6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AE1E3-4AB0-4FA1-8999-D2CA7AF586A0}">
  <sheetPr>
    <pageSetUpPr fitToPage="1"/>
  </sheetPr>
  <dimension ref="B1:P119"/>
  <sheetViews>
    <sheetView topLeftCell="A25" zoomScale="126" zoomScaleNormal="126" workbookViewId="0">
      <selection activeCell="D39" sqref="D39"/>
    </sheetView>
  </sheetViews>
  <sheetFormatPr baseColWidth="10" defaultColWidth="8.88671875" defaultRowHeight="13.2" x14ac:dyDescent="0.25"/>
  <cols>
    <col min="1" max="1" width="2.109375" customWidth="1"/>
    <col min="2" max="2" width="11.77734375" customWidth="1"/>
    <col min="3" max="3" width="17.5546875" customWidth="1"/>
    <col min="4" max="4" width="17.6640625" customWidth="1"/>
    <col min="5" max="5" width="15.21875" customWidth="1"/>
    <col min="6" max="6" width="14.6640625" customWidth="1"/>
    <col min="7" max="7" width="16" customWidth="1"/>
    <col min="8" max="8" width="28.44140625" customWidth="1"/>
    <col min="9" max="10" width="17.109375" customWidth="1"/>
    <col min="11" max="11" width="17.33203125" customWidth="1"/>
    <col min="12" max="12" width="16.33203125" customWidth="1"/>
    <col min="13" max="13" width="13.77734375" customWidth="1"/>
    <col min="14" max="14" width="14.77734375" customWidth="1"/>
    <col min="15" max="15" width="22.44140625" customWidth="1"/>
    <col min="16" max="16" width="17.33203125" customWidth="1"/>
  </cols>
  <sheetData>
    <row r="1" spans="2:16" ht="18" customHeight="1" x14ac:dyDescent="0.25">
      <c r="B1" s="80"/>
      <c r="C1" s="80"/>
      <c r="D1" s="82" t="s">
        <v>18</v>
      </c>
      <c r="E1" s="82"/>
      <c r="F1" s="82"/>
      <c r="G1" s="82"/>
      <c r="H1" s="82"/>
      <c r="I1" s="82"/>
      <c r="J1" s="82"/>
      <c r="K1" s="82"/>
      <c r="L1" s="82"/>
      <c r="M1" s="82"/>
      <c r="N1" s="82"/>
      <c r="O1" s="75" t="s">
        <v>21</v>
      </c>
      <c r="P1" s="76"/>
    </row>
    <row r="2" spans="2:16" ht="19.2" customHeight="1" x14ac:dyDescent="0.25">
      <c r="B2" s="81"/>
      <c r="C2" s="81"/>
      <c r="D2" s="83"/>
      <c r="E2" s="83"/>
      <c r="F2" s="83"/>
      <c r="G2" s="83"/>
      <c r="H2" s="83"/>
      <c r="I2" s="84"/>
      <c r="J2" s="84"/>
      <c r="K2" s="84"/>
      <c r="L2" s="84"/>
      <c r="M2" s="84"/>
      <c r="N2" s="84"/>
      <c r="O2" s="76" t="s">
        <v>0</v>
      </c>
      <c r="P2" s="76"/>
    </row>
    <row r="3" spans="2:16" ht="12.6" customHeight="1" x14ac:dyDescent="0.25">
      <c r="B3" s="79" t="s">
        <v>9</v>
      </c>
      <c r="C3" s="79"/>
      <c r="D3" s="79"/>
      <c r="E3" s="79"/>
      <c r="F3" s="79"/>
      <c r="G3" s="79"/>
      <c r="H3" s="79"/>
      <c r="I3" s="77" t="s">
        <v>10</v>
      </c>
      <c r="J3" s="78"/>
      <c r="K3" s="78"/>
      <c r="L3" s="78"/>
      <c r="M3" s="78"/>
      <c r="N3" s="78"/>
      <c r="O3" s="75" t="s">
        <v>19</v>
      </c>
      <c r="P3" s="76"/>
    </row>
    <row r="4" spans="2:16" ht="10.199999999999999" customHeight="1" x14ac:dyDescent="0.25">
      <c r="B4" s="86" t="s">
        <v>151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75" t="s">
        <v>20</v>
      </c>
      <c r="P4" s="76"/>
    </row>
    <row r="5" spans="2:16" ht="15.45" customHeight="1" x14ac:dyDescent="0.25">
      <c r="B5" s="91" t="s">
        <v>1</v>
      </c>
      <c r="C5" s="91" t="s">
        <v>3</v>
      </c>
      <c r="D5" s="91" t="s">
        <v>4</v>
      </c>
      <c r="E5" s="91" t="s">
        <v>2</v>
      </c>
      <c r="F5" s="100" t="s">
        <v>15</v>
      </c>
      <c r="G5" s="101"/>
      <c r="H5" s="91" t="s">
        <v>22</v>
      </c>
      <c r="I5" s="93" t="s">
        <v>16</v>
      </c>
      <c r="J5" s="94"/>
      <c r="K5" s="95"/>
      <c r="L5" s="96" t="s">
        <v>6</v>
      </c>
      <c r="M5" s="97"/>
      <c r="N5" s="98"/>
      <c r="O5" s="99" t="s">
        <v>5</v>
      </c>
      <c r="P5" s="99" t="s">
        <v>14</v>
      </c>
    </row>
    <row r="6" spans="2:16" ht="25.8" customHeight="1" thickBot="1" x14ac:dyDescent="0.3">
      <c r="B6" s="92"/>
      <c r="C6" s="92"/>
      <c r="D6" s="92"/>
      <c r="E6" s="92"/>
      <c r="F6" s="102"/>
      <c r="G6" s="103"/>
      <c r="H6" s="92"/>
      <c r="I6" s="6" t="s">
        <v>7</v>
      </c>
      <c r="J6" s="6" t="s">
        <v>8</v>
      </c>
      <c r="K6" s="6" t="s">
        <v>11</v>
      </c>
      <c r="L6" s="7" t="s">
        <v>13</v>
      </c>
      <c r="M6" s="7" t="s">
        <v>23</v>
      </c>
      <c r="N6" s="7" t="s">
        <v>12</v>
      </c>
      <c r="O6" s="99"/>
      <c r="P6" s="99"/>
    </row>
    <row r="7" spans="2:16" ht="30" customHeight="1" x14ac:dyDescent="0.25">
      <c r="B7" s="66">
        <v>46098</v>
      </c>
      <c r="C7" s="28" t="s">
        <v>24</v>
      </c>
      <c r="D7" s="28" t="s">
        <v>63</v>
      </c>
      <c r="E7" s="28" t="s">
        <v>65</v>
      </c>
      <c r="F7" s="117" t="s">
        <v>66</v>
      </c>
      <c r="G7" s="117"/>
      <c r="H7" s="28">
        <v>1</v>
      </c>
      <c r="I7" s="30">
        <v>0.29166666666666669</v>
      </c>
      <c r="J7" s="30">
        <v>0.31944444444444448</v>
      </c>
      <c r="K7" s="29">
        <v>0</v>
      </c>
      <c r="L7" s="31">
        <f>((J7-I7+(J7&lt;I7))*1440)-K7</f>
        <v>40.000000000000014</v>
      </c>
      <c r="M7" s="32">
        <v>1</v>
      </c>
      <c r="N7" s="32">
        <f>L7/M7</f>
        <v>40.000000000000014</v>
      </c>
      <c r="O7" s="33"/>
      <c r="P7" s="34"/>
    </row>
    <row r="8" spans="2:16" ht="30" customHeight="1" x14ac:dyDescent="0.25">
      <c r="B8" s="67"/>
      <c r="C8" s="2" t="s">
        <v>24</v>
      </c>
      <c r="D8" s="2" t="s">
        <v>64</v>
      </c>
      <c r="E8" s="2" t="s">
        <v>65</v>
      </c>
      <c r="F8" s="85" t="s">
        <v>67</v>
      </c>
      <c r="G8" s="85"/>
      <c r="H8" s="2">
        <v>1</v>
      </c>
      <c r="I8" s="8">
        <v>0.31944444444444448</v>
      </c>
      <c r="J8" s="8">
        <v>0.375</v>
      </c>
      <c r="K8" s="4">
        <v>10</v>
      </c>
      <c r="L8" s="11">
        <f t="shared" ref="L8:L16" si="0">((J8-I8+(J8&lt;I8))*1440)-K8</f>
        <v>69.999999999999957</v>
      </c>
      <c r="M8" s="12">
        <v>1</v>
      </c>
      <c r="N8" s="12">
        <f t="shared" ref="N8:N16" si="1">L8/M8</f>
        <v>69.999999999999957</v>
      </c>
      <c r="O8" s="5"/>
      <c r="P8" s="35"/>
    </row>
    <row r="9" spans="2:16" ht="30" customHeight="1" x14ac:dyDescent="0.25">
      <c r="B9" s="67"/>
      <c r="C9" s="2" t="s">
        <v>62</v>
      </c>
      <c r="D9" s="2" t="s">
        <v>46</v>
      </c>
      <c r="E9" s="2" t="s">
        <v>65</v>
      </c>
      <c r="F9" s="85" t="s">
        <v>68</v>
      </c>
      <c r="G9" s="85"/>
      <c r="H9" s="2">
        <v>4</v>
      </c>
      <c r="I9" s="8">
        <v>0.375</v>
      </c>
      <c r="J9" s="8">
        <v>0.4548611111111111</v>
      </c>
      <c r="K9" s="4">
        <v>15</v>
      </c>
      <c r="L9" s="11">
        <f t="shared" si="0"/>
        <v>99.999999999999986</v>
      </c>
      <c r="M9" s="12">
        <v>4</v>
      </c>
      <c r="N9" s="12">
        <f t="shared" si="1"/>
        <v>24.999999999999996</v>
      </c>
      <c r="O9" s="5"/>
      <c r="P9" s="35"/>
    </row>
    <row r="10" spans="2:16" ht="30" customHeight="1" x14ac:dyDescent="0.25">
      <c r="B10" s="67"/>
      <c r="C10" s="2" t="s">
        <v>62</v>
      </c>
      <c r="D10" s="2" t="s">
        <v>46</v>
      </c>
      <c r="E10" s="2" t="s">
        <v>65</v>
      </c>
      <c r="F10" s="85" t="s">
        <v>68</v>
      </c>
      <c r="G10" s="85"/>
      <c r="H10" s="2">
        <v>4</v>
      </c>
      <c r="I10" s="8">
        <v>0.4548611111111111</v>
      </c>
      <c r="J10" s="8">
        <v>0.56944444444444442</v>
      </c>
      <c r="K10" s="4">
        <v>40</v>
      </c>
      <c r="L10" s="11">
        <f t="shared" si="0"/>
        <v>124.99999999999997</v>
      </c>
      <c r="M10" s="12">
        <v>4</v>
      </c>
      <c r="N10" s="12">
        <f t="shared" si="1"/>
        <v>31.249999999999993</v>
      </c>
      <c r="O10" s="5"/>
      <c r="P10" s="35"/>
    </row>
    <row r="11" spans="2:16" ht="30" customHeight="1" thickBot="1" x14ac:dyDescent="0.3">
      <c r="B11" s="68"/>
      <c r="C11" s="36" t="s">
        <v>62</v>
      </c>
      <c r="D11" s="36" t="s">
        <v>46</v>
      </c>
      <c r="E11" s="36" t="s">
        <v>65</v>
      </c>
      <c r="F11" s="118" t="s">
        <v>68</v>
      </c>
      <c r="G11" s="118"/>
      <c r="H11" s="36">
        <v>4</v>
      </c>
      <c r="I11" s="38">
        <v>0.56944444444444442</v>
      </c>
      <c r="J11" s="38">
        <v>0.66666666666666663</v>
      </c>
      <c r="K11" s="37">
        <v>10</v>
      </c>
      <c r="L11" s="39">
        <f t="shared" si="0"/>
        <v>129.99999999999997</v>
      </c>
      <c r="M11" s="40">
        <v>4</v>
      </c>
      <c r="N11" s="40">
        <f t="shared" si="1"/>
        <v>32.499999999999993</v>
      </c>
      <c r="O11" s="41"/>
      <c r="P11" s="42"/>
    </row>
    <row r="12" spans="2:16" ht="30" customHeight="1" x14ac:dyDescent="0.25">
      <c r="B12" s="66">
        <v>46099</v>
      </c>
      <c r="C12" s="28" t="s">
        <v>62</v>
      </c>
      <c r="D12" s="28" t="s">
        <v>46</v>
      </c>
      <c r="E12" s="28" t="s">
        <v>65</v>
      </c>
      <c r="F12" s="117" t="s">
        <v>68</v>
      </c>
      <c r="G12" s="117"/>
      <c r="H12" s="28">
        <v>4</v>
      </c>
      <c r="I12" s="30">
        <v>0.29166666666666669</v>
      </c>
      <c r="J12" s="30">
        <v>0.56944444444444442</v>
      </c>
      <c r="K12" s="29">
        <v>40</v>
      </c>
      <c r="L12" s="31">
        <f t="shared" ref="L12" si="2">((J12-I12+(J12&lt;I12))*1440)-K12</f>
        <v>359.99999999999994</v>
      </c>
      <c r="M12" s="32">
        <v>4</v>
      </c>
      <c r="N12" s="32">
        <f>L12/M12</f>
        <v>89.999999999999986</v>
      </c>
      <c r="O12" s="33"/>
      <c r="P12" s="34"/>
    </row>
    <row r="13" spans="2:16" ht="30" customHeight="1" x14ac:dyDescent="0.25">
      <c r="B13" s="67"/>
      <c r="C13" s="2" t="s">
        <v>120</v>
      </c>
      <c r="D13" s="2" t="s">
        <v>120</v>
      </c>
      <c r="E13" s="2" t="s">
        <v>54</v>
      </c>
      <c r="F13" s="85" t="s">
        <v>127</v>
      </c>
      <c r="G13" s="85"/>
      <c r="H13" s="2">
        <v>1</v>
      </c>
      <c r="I13" s="8">
        <v>0.56944444444444442</v>
      </c>
      <c r="J13" s="8">
        <v>0.61111111111111105</v>
      </c>
      <c r="K13" s="4">
        <v>0</v>
      </c>
      <c r="L13" s="11">
        <f t="shared" si="0"/>
        <v>59.999999999999943</v>
      </c>
      <c r="M13" s="12">
        <v>1</v>
      </c>
      <c r="N13" s="12">
        <f>L13/M13</f>
        <v>59.999999999999943</v>
      </c>
      <c r="O13" s="5"/>
      <c r="P13" s="35"/>
    </row>
    <row r="14" spans="2:16" ht="30" customHeight="1" thickBot="1" x14ac:dyDescent="0.3">
      <c r="B14" s="68"/>
      <c r="C14" s="36" t="s">
        <v>24</v>
      </c>
      <c r="D14" s="36" t="s">
        <v>46</v>
      </c>
      <c r="E14" s="36" t="s">
        <v>65</v>
      </c>
      <c r="F14" s="73" t="s">
        <v>129</v>
      </c>
      <c r="G14" s="74"/>
      <c r="H14" s="36">
        <v>3</v>
      </c>
      <c r="I14" s="38">
        <v>0.61111111111111105</v>
      </c>
      <c r="J14" s="38">
        <v>0.66666666666666663</v>
      </c>
      <c r="K14" s="37">
        <v>15</v>
      </c>
      <c r="L14" s="39">
        <f t="shared" si="0"/>
        <v>65.000000000000028</v>
      </c>
      <c r="M14" s="40">
        <v>1</v>
      </c>
      <c r="N14" s="40">
        <f t="shared" si="1"/>
        <v>65.000000000000028</v>
      </c>
      <c r="O14" s="41" t="s">
        <v>128</v>
      </c>
      <c r="P14" s="42"/>
    </row>
    <row r="15" spans="2:16" ht="30" customHeight="1" x14ac:dyDescent="0.25">
      <c r="B15" s="66">
        <v>46100</v>
      </c>
      <c r="C15" s="28" t="s">
        <v>120</v>
      </c>
      <c r="D15" s="28" t="s">
        <v>120</v>
      </c>
      <c r="E15" s="28" t="s">
        <v>54</v>
      </c>
      <c r="F15" s="71" t="s">
        <v>130</v>
      </c>
      <c r="G15" s="72"/>
      <c r="H15" s="28">
        <v>1</v>
      </c>
      <c r="I15" s="30">
        <v>0.29166666666666669</v>
      </c>
      <c r="J15" s="30">
        <v>0.36805555555555558</v>
      </c>
      <c r="K15" s="29">
        <v>0</v>
      </c>
      <c r="L15" s="31">
        <f t="shared" si="0"/>
        <v>110.00000000000001</v>
      </c>
      <c r="M15" s="32">
        <v>1</v>
      </c>
      <c r="N15" s="32">
        <f t="shared" si="1"/>
        <v>110.00000000000001</v>
      </c>
      <c r="O15" s="33"/>
      <c r="P15" s="34"/>
    </row>
    <row r="16" spans="2:16" ht="30" customHeight="1" x14ac:dyDescent="0.25">
      <c r="B16" s="67"/>
      <c r="C16" s="116" t="s">
        <v>24</v>
      </c>
      <c r="D16" s="2" t="s">
        <v>46</v>
      </c>
      <c r="E16" s="2" t="s">
        <v>131</v>
      </c>
      <c r="F16" s="69" t="s">
        <v>132</v>
      </c>
      <c r="G16" s="70"/>
      <c r="H16" s="2">
        <v>1</v>
      </c>
      <c r="I16" s="8">
        <v>0.36805555555555558</v>
      </c>
      <c r="J16" s="8">
        <v>0.39583333333333331</v>
      </c>
      <c r="K16" s="4">
        <v>0</v>
      </c>
      <c r="L16" s="11">
        <f t="shared" si="0"/>
        <v>39.999999999999936</v>
      </c>
      <c r="M16" s="12">
        <v>1</v>
      </c>
      <c r="N16" s="12">
        <f t="shared" si="1"/>
        <v>39.999999999999936</v>
      </c>
      <c r="O16" s="5"/>
      <c r="P16" s="35"/>
    </row>
    <row r="17" spans="2:16" ht="54.6" customHeight="1" x14ac:dyDescent="0.25">
      <c r="B17" s="67"/>
      <c r="C17" s="114"/>
      <c r="D17" s="2" t="s">
        <v>46</v>
      </c>
      <c r="E17" s="2" t="s">
        <v>133</v>
      </c>
      <c r="F17" s="69" t="s">
        <v>134</v>
      </c>
      <c r="G17" s="70"/>
      <c r="H17" s="2">
        <v>1</v>
      </c>
      <c r="I17" s="8">
        <v>0.39583333333333331</v>
      </c>
      <c r="J17" s="8">
        <v>0.47222222222222227</v>
      </c>
      <c r="K17" s="4">
        <v>0</v>
      </c>
      <c r="L17" s="11">
        <f>((J17-I17+(J17&lt;I17))*1440)-K17</f>
        <v>110.00000000000009</v>
      </c>
      <c r="M17" s="12">
        <v>1</v>
      </c>
      <c r="N17" s="12">
        <f t="shared" ref="N17:N80" si="3">L17/M17</f>
        <v>110.00000000000009</v>
      </c>
      <c r="O17" s="5"/>
      <c r="P17" s="35"/>
    </row>
    <row r="18" spans="2:16" ht="40.200000000000003" customHeight="1" x14ac:dyDescent="0.25">
      <c r="B18" s="67"/>
      <c r="C18" s="114"/>
      <c r="D18" s="2" t="s">
        <v>46</v>
      </c>
      <c r="E18" s="2" t="s">
        <v>135</v>
      </c>
      <c r="F18" s="69" t="s">
        <v>136</v>
      </c>
      <c r="G18" s="70"/>
      <c r="H18" s="2">
        <v>1</v>
      </c>
      <c r="I18" s="8">
        <v>0.47222222222222227</v>
      </c>
      <c r="J18" s="8">
        <v>0.56944444444444442</v>
      </c>
      <c r="K18" s="4">
        <v>40</v>
      </c>
      <c r="L18" s="11">
        <f t="shared" ref="L18:L80" si="4">((J18-I18+(J18&lt;I18))*1440)-K18</f>
        <v>99.999999999999915</v>
      </c>
      <c r="M18" s="12">
        <v>1</v>
      </c>
      <c r="N18" s="12">
        <f t="shared" si="3"/>
        <v>99.999999999999915</v>
      </c>
      <c r="O18" s="5"/>
      <c r="P18" s="35"/>
    </row>
    <row r="19" spans="2:16" ht="14.4" thickBot="1" x14ac:dyDescent="0.3">
      <c r="B19" s="68"/>
      <c r="C19" s="115"/>
      <c r="D19" s="36" t="s">
        <v>46</v>
      </c>
      <c r="E19" s="36" t="s">
        <v>131</v>
      </c>
      <c r="F19" s="73" t="s">
        <v>137</v>
      </c>
      <c r="G19" s="74"/>
      <c r="H19" s="36">
        <v>1</v>
      </c>
      <c r="I19" s="38">
        <v>0.56944444444444442</v>
      </c>
      <c r="J19" s="38">
        <v>0.66666666666666663</v>
      </c>
      <c r="K19" s="37">
        <v>10</v>
      </c>
      <c r="L19" s="39">
        <f t="shared" si="4"/>
        <v>129.99999999999997</v>
      </c>
      <c r="M19" s="40">
        <v>1</v>
      </c>
      <c r="N19" s="40">
        <f t="shared" si="3"/>
        <v>129.99999999999997</v>
      </c>
      <c r="O19" s="41"/>
      <c r="P19" s="42"/>
    </row>
    <row r="20" spans="2:16" ht="25.8" customHeight="1" x14ac:dyDescent="0.25">
      <c r="B20" s="66">
        <v>46101</v>
      </c>
      <c r="C20" s="28" t="s">
        <v>24</v>
      </c>
      <c r="D20" s="28" t="s">
        <v>46</v>
      </c>
      <c r="E20" s="28" t="s">
        <v>65</v>
      </c>
      <c r="F20" s="71" t="s">
        <v>138</v>
      </c>
      <c r="G20" s="72"/>
      <c r="H20" s="28">
        <v>1</v>
      </c>
      <c r="I20" s="30">
        <v>0.29166666666666669</v>
      </c>
      <c r="J20" s="30">
        <v>0.3263888888888889</v>
      </c>
      <c r="K20" s="29">
        <v>0</v>
      </c>
      <c r="L20" s="31">
        <f t="shared" si="4"/>
        <v>49.999999999999986</v>
      </c>
      <c r="M20" s="32">
        <v>1</v>
      </c>
      <c r="N20" s="32">
        <f t="shared" si="3"/>
        <v>49.999999999999986</v>
      </c>
      <c r="O20" s="33"/>
      <c r="P20" s="34"/>
    </row>
    <row r="21" spans="2:16" ht="31.8" customHeight="1" x14ac:dyDescent="0.25">
      <c r="B21" s="67"/>
      <c r="C21" s="16" t="s">
        <v>24</v>
      </c>
      <c r="D21" s="2" t="s">
        <v>46</v>
      </c>
      <c r="E21" s="2" t="s">
        <v>139</v>
      </c>
      <c r="F21" s="69" t="s">
        <v>140</v>
      </c>
      <c r="G21" s="70"/>
      <c r="H21" s="2">
        <v>1</v>
      </c>
      <c r="I21" s="8">
        <v>0.3263888888888889</v>
      </c>
      <c r="J21" s="8">
        <v>0.38541666666666669</v>
      </c>
      <c r="K21" s="4">
        <v>0</v>
      </c>
      <c r="L21" s="11">
        <f t="shared" si="4"/>
        <v>85.000000000000014</v>
      </c>
      <c r="M21" s="12">
        <v>1</v>
      </c>
      <c r="N21" s="12">
        <f t="shared" si="3"/>
        <v>85.000000000000014</v>
      </c>
      <c r="O21" s="5"/>
      <c r="P21" s="35"/>
    </row>
    <row r="22" spans="2:16" ht="37.799999999999997" customHeight="1" x14ac:dyDescent="0.25">
      <c r="B22" s="67"/>
      <c r="C22" s="2" t="s">
        <v>81</v>
      </c>
      <c r="D22" s="2" t="s">
        <v>46</v>
      </c>
      <c r="E22" s="2" t="s">
        <v>131</v>
      </c>
      <c r="F22" s="69" t="s">
        <v>141</v>
      </c>
      <c r="G22" s="70"/>
      <c r="H22" s="2">
        <v>1</v>
      </c>
      <c r="I22" s="8">
        <v>0.38541666666666669</v>
      </c>
      <c r="J22" s="8">
        <v>0.4375</v>
      </c>
      <c r="K22" s="4">
        <v>30</v>
      </c>
      <c r="L22" s="11">
        <f t="shared" si="4"/>
        <v>44.999999999999972</v>
      </c>
      <c r="M22" s="12">
        <v>1</v>
      </c>
      <c r="N22" s="12">
        <f t="shared" si="3"/>
        <v>44.999999999999972</v>
      </c>
      <c r="O22" s="5"/>
      <c r="P22" s="35"/>
    </row>
    <row r="23" spans="2:16" ht="25.2" customHeight="1" x14ac:dyDescent="0.25">
      <c r="B23" s="67"/>
      <c r="C23" s="2" t="s">
        <v>81</v>
      </c>
      <c r="D23" s="2" t="s">
        <v>46</v>
      </c>
      <c r="E23" s="2" t="s">
        <v>143</v>
      </c>
      <c r="F23" s="69" t="s">
        <v>142</v>
      </c>
      <c r="G23" s="70"/>
      <c r="H23" s="2">
        <v>1</v>
      </c>
      <c r="I23" s="8">
        <v>0.4375</v>
      </c>
      <c r="J23" s="8">
        <v>0.56944444444444442</v>
      </c>
      <c r="K23" s="4">
        <v>40</v>
      </c>
      <c r="L23" s="11">
        <f t="shared" si="4"/>
        <v>149.99999999999997</v>
      </c>
      <c r="M23" s="12">
        <v>1</v>
      </c>
      <c r="N23" s="12">
        <f t="shared" si="3"/>
        <v>149.99999999999997</v>
      </c>
      <c r="O23" s="5"/>
      <c r="P23" s="35"/>
    </row>
    <row r="24" spans="2:16" ht="14.4" thickBot="1" x14ac:dyDescent="0.3">
      <c r="B24" s="68"/>
      <c r="C24" s="36" t="s">
        <v>81</v>
      </c>
      <c r="D24" s="36" t="s">
        <v>46</v>
      </c>
      <c r="E24" s="36" t="s">
        <v>143</v>
      </c>
      <c r="F24" s="73" t="s">
        <v>144</v>
      </c>
      <c r="G24" s="74"/>
      <c r="H24" s="36">
        <v>1</v>
      </c>
      <c r="I24" s="38">
        <v>0.56944444444444442</v>
      </c>
      <c r="J24" s="38">
        <v>0.66666666666666663</v>
      </c>
      <c r="K24" s="37">
        <v>0</v>
      </c>
      <c r="L24" s="39">
        <f t="shared" si="4"/>
        <v>139.99999999999997</v>
      </c>
      <c r="M24" s="40">
        <v>1</v>
      </c>
      <c r="N24" s="40">
        <f t="shared" si="3"/>
        <v>139.99999999999997</v>
      </c>
      <c r="O24" s="41"/>
      <c r="P24" s="42"/>
    </row>
    <row r="25" spans="2:16" ht="13.8" x14ac:dyDescent="0.25">
      <c r="B25" s="66">
        <v>46105</v>
      </c>
      <c r="C25" s="28" t="s">
        <v>81</v>
      </c>
      <c r="D25" s="28" t="s">
        <v>46</v>
      </c>
      <c r="E25" s="28" t="s">
        <v>143</v>
      </c>
      <c r="F25" s="71" t="s">
        <v>145</v>
      </c>
      <c r="G25" s="72"/>
      <c r="H25" s="28">
        <v>1</v>
      </c>
      <c r="I25" s="30">
        <v>0.29166666666666669</v>
      </c>
      <c r="J25" s="30">
        <v>0.35416666666666669</v>
      </c>
      <c r="K25" s="29">
        <v>15</v>
      </c>
      <c r="L25" s="31">
        <f t="shared" si="4"/>
        <v>75</v>
      </c>
      <c r="M25" s="32">
        <v>1</v>
      </c>
      <c r="N25" s="32">
        <f t="shared" si="3"/>
        <v>75</v>
      </c>
      <c r="O25" s="33" t="s">
        <v>146</v>
      </c>
      <c r="P25" s="34"/>
    </row>
    <row r="26" spans="2:16" ht="25.8" customHeight="1" x14ac:dyDescent="0.25">
      <c r="B26" s="67"/>
      <c r="C26" s="2" t="s">
        <v>62</v>
      </c>
      <c r="D26" s="2" t="s">
        <v>46</v>
      </c>
      <c r="E26" s="2" t="s">
        <v>65</v>
      </c>
      <c r="F26" s="69" t="s">
        <v>147</v>
      </c>
      <c r="G26" s="70"/>
      <c r="H26" s="2">
        <v>1</v>
      </c>
      <c r="I26" s="8">
        <v>0.35416666666666669</v>
      </c>
      <c r="J26" s="8">
        <v>0.39583333333333331</v>
      </c>
      <c r="K26" s="4">
        <v>0</v>
      </c>
      <c r="L26" s="11">
        <f t="shared" si="4"/>
        <v>59.999999999999943</v>
      </c>
      <c r="M26" s="12">
        <v>1</v>
      </c>
      <c r="N26" s="12">
        <f t="shared" si="3"/>
        <v>59.999999999999943</v>
      </c>
      <c r="O26" s="5"/>
      <c r="P26" s="35"/>
    </row>
    <row r="27" spans="2:16" ht="40.799999999999997" customHeight="1" x14ac:dyDescent="0.25">
      <c r="B27" s="67"/>
      <c r="C27" s="2" t="s">
        <v>24</v>
      </c>
      <c r="D27" s="2" t="s">
        <v>46</v>
      </c>
      <c r="E27" s="2" t="s">
        <v>65</v>
      </c>
      <c r="F27" s="69" t="s">
        <v>150</v>
      </c>
      <c r="G27" s="70"/>
      <c r="H27" s="2">
        <v>1</v>
      </c>
      <c r="I27" s="8">
        <v>0.39583333333333331</v>
      </c>
      <c r="J27" s="8">
        <v>0.56944444444444442</v>
      </c>
      <c r="K27" s="4">
        <v>40</v>
      </c>
      <c r="L27" s="11">
        <f t="shared" si="4"/>
        <v>210</v>
      </c>
      <c r="M27" s="12">
        <v>1</v>
      </c>
      <c r="N27" s="12">
        <f t="shared" si="3"/>
        <v>210</v>
      </c>
      <c r="O27" s="5"/>
      <c r="P27" s="35"/>
    </row>
    <row r="28" spans="2:16" ht="28.2" thickBot="1" x14ac:dyDescent="0.3">
      <c r="B28" s="68"/>
      <c r="C28" s="36" t="s">
        <v>24</v>
      </c>
      <c r="D28" s="36" t="s">
        <v>46</v>
      </c>
      <c r="E28" s="36" t="s">
        <v>148</v>
      </c>
      <c r="F28" s="73" t="s">
        <v>149</v>
      </c>
      <c r="G28" s="74"/>
      <c r="H28" s="36">
        <v>1</v>
      </c>
      <c r="I28" s="38">
        <v>0.56944444444444442</v>
      </c>
      <c r="J28" s="38">
        <v>0.66666666666666663</v>
      </c>
      <c r="K28" s="37">
        <v>0</v>
      </c>
      <c r="L28" s="39">
        <f t="shared" si="4"/>
        <v>139.99999999999997</v>
      </c>
      <c r="M28" s="40">
        <v>1</v>
      </c>
      <c r="N28" s="40">
        <f t="shared" si="3"/>
        <v>139.99999999999997</v>
      </c>
      <c r="O28" s="41"/>
      <c r="P28" s="42"/>
    </row>
    <row r="29" spans="2:16" ht="13.8" x14ac:dyDescent="0.25">
      <c r="B29" s="66">
        <v>46106</v>
      </c>
      <c r="C29" s="28" t="s">
        <v>24</v>
      </c>
      <c r="D29" s="28" t="s">
        <v>46</v>
      </c>
      <c r="E29" s="28" t="s">
        <v>65</v>
      </c>
      <c r="F29" s="71" t="s">
        <v>157</v>
      </c>
      <c r="G29" s="72"/>
      <c r="H29" s="28">
        <v>1</v>
      </c>
      <c r="I29" s="30">
        <v>0.29166666666666669</v>
      </c>
      <c r="J29" s="30">
        <v>0.45833333333333331</v>
      </c>
      <c r="K29" s="29">
        <v>60</v>
      </c>
      <c r="L29" s="31">
        <f t="shared" si="4"/>
        <v>179.99999999999994</v>
      </c>
      <c r="M29" s="32">
        <v>1</v>
      </c>
      <c r="N29" s="32">
        <f t="shared" si="3"/>
        <v>179.99999999999994</v>
      </c>
      <c r="O29" s="33" t="s">
        <v>158</v>
      </c>
      <c r="P29" s="34"/>
    </row>
    <row r="30" spans="2:16" ht="13.8" x14ac:dyDescent="0.25">
      <c r="B30" s="67"/>
      <c r="C30" s="2" t="s">
        <v>24</v>
      </c>
      <c r="D30" s="2" t="s">
        <v>46</v>
      </c>
      <c r="E30" s="2" t="s">
        <v>143</v>
      </c>
      <c r="F30" s="69" t="s">
        <v>159</v>
      </c>
      <c r="G30" s="70"/>
      <c r="H30" s="2">
        <v>1</v>
      </c>
      <c r="I30" s="8">
        <v>0.45833333333333331</v>
      </c>
      <c r="J30" s="8">
        <v>0.5</v>
      </c>
      <c r="K30" s="4">
        <v>0</v>
      </c>
      <c r="L30" s="11">
        <f t="shared" si="4"/>
        <v>60.000000000000028</v>
      </c>
      <c r="M30" s="12">
        <v>1</v>
      </c>
      <c r="N30" s="12">
        <f t="shared" si="3"/>
        <v>60.000000000000028</v>
      </c>
      <c r="O30" s="5"/>
      <c r="P30" s="35"/>
    </row>
    <row r="31" spans="2:16" ht="13.8" x14ac:dyDescent="0.25">
      <c r="B31" s="67"/>
      <c r="C31" s="2" t="s">
        <v>160</v>
      </c>
      <c r="D31" s="2" t="s">
        <v>46</v>
      </c>
      <c r="E31" s="2" t="s">
        <v>139</v>
      </c>
      <c r="F31" s="69" t="s">
        <v>161</v>
      </c>
      <c r="G31" s="70"/>
      <c r="H31" s="2">
        <v>1</v>
      </c>
      <c r="I31" s="8">
        <v>0.5</v>
      </c>
      <c r="J31" s="8">
        <v>0.56944444444444442</v>
      </c>
      <c r="K31" s="4">
        <v>40</v>
      </c>
      <c r="L31" s="11">
        <f t="shared" si="4"/>
        <v>59.999999999999972</v>
      </c>
      <c r="M31" s="12">
        <v>1</v>
      </c>
      <c r="N31" s="12">
        <f t="shared" si="3"/>
        <v>59.999999999999972</v>
      </c>
      <c r="O31" s="5"/>
      <c r="P31" s="35"/>
    </row>
    <row r="32" spans="2:16" ht="14.4" thickBot="1" x14ac:dyDescent="0.3">
      <c r="B32" s="68"/>
      <c r="C32" s="36" t="s">
        <v>24</v>
      </c>
      <c r="D32" s="36" t="s">
        <v>46</v>
      </c>
      <c r="E32" s="36" t="s">
        <v>65</v>
      </c>
      <c r="F32" s="73" t="s">
        <v>162</v>
      </c>
      <c r="G32" s="74"/>
      <c r="H32" s="36">
        <v>1</v>
      </c>
      <c r="I32" s="38">
        <v>0.56944444444444442</v>
      </c>
      <c r="J32" s="38">
        <v>0.66666666666666663</v>
      </c>
      <c r="K32" s="37">
        <v>0</v>
      </c>
      <c r="L32" s="39">
        <f t="shared" si="4"/>
        <v>139.99999999999997</v>
      </c>
      <c r="M32" s="40">
        <v>1</v>
      </c>
      <c r="N32" s="40">
        <f t="shared" si="3"/>
        <v>139.99999999999997</v>
      </c>
      <c r="O32" s="41"/>
      <c r="P32" s="42"/>
    </row>
    <row r="33" spans="2:16" ht="13.8" x14ac:dyDescent="0.25">
      <c r="B33" s="66">
        <v>46107</v>
      </c>
      <c r="C33" s="28" t="s">
        <v>24</v>
      </c>
      <c r="D33" s="28" t="s">
        <v>46</v>
      </c>
      <c r="E33" s="28" t="s">
        <v>65</v>
      </c>
      <c r="F33" s="71" t="s">
        <v>163</v>
      </c>
      <c r="G33" s="72"/>
      <c r="H33" s="28">
        <v>1</v>
      </c>
      <c r="I33" s="30">
        <v>0.29166666666666669</v>
      </c>
      <c r="J33" s="30">
        <v>0.375</v>
      </c>
      <c r="K33" s="29">
        <v>0</v>
      </c>
      <c r="L33" s="31">
        <f t="shared" si="4"/>
        <v>119.99999999999997</v>
      </c>
      <c r="M33" s="32">
        <v>1</v>
      </c>
      <c r="N33" s="32">
        <f t="shared" si="3"/>
        <v>119.99999999999997</v>
      </c>
      <c r="O33" s="33"/>
      <c r="P33" s="34"/>
    </row>
    <row r="34" spans="2:16" ht="13.8" x14ac:dyDescent="0.25">
      <c r="B34" s="67"/>
      <c r="C34" s="2" t="s">
        <v>24</v>
      </c>
      <c r="D34" s="2" t="s">
        <v>46</v>
      </c>
      <c r="E34" s="2" t="s">
        <v>65</v>
      </c>
      <c r="F34" s="69" t="s">
        <v>164</v>
      </c>
      <c r="G34" s="70"/>
      <c r="H34" s="2">
        <v>1</v>
      </c>
      <c r="I34" s="8">
        <v>0.375</v>
      </c>
      <c r="J34" s="8">
        <v>0.56944444444444442</v>
      </c>
      <c r="K34" s="4">
        <v>40</v>
      </c>
      <c r="L34" s="11">
        <f t="shared" si="4"/>
        <v>239.99999999999994</v>
      </c>
      <c r="M34" s="12">
        <v>1</v>
      </c>
      <c r="N34" s="12">
        <f t="shared" si="3"/>
        <v>239.99999999999994</v>
      </c>
      <c r="O34" s="5"/>
      <c r="P34" s="35"/>
    </row>
    <row r="35" spans="2:16" ht="27.6" x14ac:dyDescent="0.25">
      <c r="B35" s="67"/>
      <c r="C35" s="2" t="s">
        <v>120</v>
      </c>
      <c r="D35" s="2" t="s">
        <v>46</v>
      </c>
      <c r="E35" s="2" t="s">
        <v>165</v>
      </c>
      <c r="F35" s="69" t="s">
        <v>166</v>
      </c>
      <c r="G35" s="70"/>
      <c r="H35" s="2">
        <v>1</v>
      </c>
      <c r="I35" s="8">
        <v>0.56944444444444442</v>
      </c>
      <c r="J35" s="8">
        <v>0.59027777777777779</v>
      </c>
      <c r="K35" s="4">
        <v>0</v>
      </c>
      <c r="L35" s="11">
        <f t="shared" si="4"/>
        <v>30.000000000000053</v>
      </c>
      <c r="M35" s="12">
        <v>1</v>
      </c>
      <c r="N35" s="12">
        <f t="shared" si="3"/>
        <v>30.000000000000053</v>
      </c>
      <c r="O35" s="5"/>
      <c r="P35" s="35"/>
    </row>
    <row r="36" spans="2:16" ht="13.8" x14ac:dyDescent="0.25">
      <c r="B36" s="67"/>
      <c r="C36" s="2" t="s">
        <v>24</v>
      </c>
      <c r="D36" s="2" t="s">
        <v>46</v>
      </c>
      <c r="E36" s="2" t="s">
        <v>107</v>
      </c>
      <c r="F36" s="69" t="s">
        <v>167</v>
      </c>
      <c r="G36" s="70"/>
      <c r="H36" s="2">
        <v>1</v>
      </c>
      <c r="I36" s="8">
        <v>0.59027777777777779</v>
      </c>
      <c r="J36" s="8">
        <v>0.625</v>
      </c>
      <c r="K36" s="4">
        <v>0</v>
      </c>
      <c r="L36" s="11">
        <f t="shared" si="4"/>
        <v>49.999999999999986</v>
      </c>
      <c r="M36" s="12">
        <v>1</v>
      </c>
      <c r="N36" s="12">
        <f t="shared" si="3"/>
        <v>49.999999999999986</v>
      </c>
      <c r="O36" s="5"/>
      <c r="P36" s="35"/>
    </row>
    <row r="37" spans="2:16" ht="28.2" thickBot="1" x14ac:dyDescent="0.3">
      <c r="B37" s="68"/>
      <c r="C37" s="36" t="s">
        <v>24</v>
      </c>
      <c r="D37" s="36" t="s">
        <v>46</v>
      </c>
      <c r="E37" s="36" t="s">
        <v>168</v>
      </c>
      <c r="F37" s="73" t="s">
        <v>169</v>
      </c>
      <c r="G37" s="74"/>
      <c r="H37" s="36">
        <v>1</v>
      </c>
      <c r="I37" s="38">
        <v>0.625</v>
      </c>
      <c r="J37" s="38">
        <v>0.66666666666666663</v>
      </c>
      <c r="K37" s="37">
        <v>0</v>
      </c>
      <c r="L37" s="39">
        <f t="shared" si="4"/>
        <v>59.999999999999943</v>
      </c>
      <c r="M37" s="40">
        <v>1</v>
      </c>
      <c r="N37" s="40">
        <f t="shared" si="3"/>
        <v>59.999999999999943</v>
      </c>
      <c r="O37" s="41"/>
      <c r="P37" s="42"/>
    </row>
    <row r="38" spans="2:16" ht="13.8" x14ac:dyDescent="0.25">
      <c r="B38" s="1"/>
      <c r="C38" s="2"/>
      <c r="D38" s="2"/>
      <c r="E38" s="2"/>
      <c r="F38" s="69"/>
      <c r="G38" s="70"/>
      <c r="H38" s="2"/>
      <c r="I38" s="8">
        <v>0</v>
      </c>
      <c r="J38" s="8">
        <v>0</v>
      </c>
      <c r="K38" s="4">
        <v>0</v>
      </c>
      <c r="L38" s="11">
        <f t="shared" si="4"/>
        <v>0</v>
      </c>
      <c r="M38" s="12">
        <v>1</v>
      </c>
      <c r="N38" s="12">
        <f t="shared" si="3"/>
        <v>0</v>
      </c>
      <c r="O38" s="5"/>
      <c r="P38" s="5"/>
    </row>
    <row r="39" spans="2:16" ht="13.8" x14ac:dyDescent="0.25">
      <c r="B39" s="1"/>
      <c r="C39" s="2"/>
      <c r="D39" s="2"/>
      <c r="E39" s="2"/>
      <c r="F39" s="69"/>
      <c r="G39" s="70"/>
      <c r="H39" s="2"/>
      <c r="I39" s="8">
        <v>0</v>
      </c>
      <c r="J39" s="8">
        <v>0</v>
      </c>
      <c r="K39" s="4">
        <v>0</v>
      </c>
      <c r="L39" s="11">
        <f t="shared" si="4"/>
        <v>0</v>
      </c>
      <c r="M39" s="12">
        <v>1</v>
      </c>
      <c r="N39" s="12">
        <f t="shared" si="3"/>
        <v>0</v>
      </c>
      <c r="O39" s="5"/>
      <c r="P39" s="5"/>
    </row>
    <row r="40" spans="2:16" ht="13.8" x14ac:dyDescent="0.25">
      <c r="B40" s="1"/>
      <c r="C40" s="2"/>
      <c r="D40" s="2"/>
      <c r="E40" s="2"/>
      <c r="F40" s="69"/>
      <c r="G40" s="70"/>
      <c r="H40" s="2"/>
      <c r="I40" s="8">
        <v>0</v>
      </c>
      <c r="J40" s="8">
        <v>0</v>
      </c>
      <c r="K40" s="4">
        <v>0</v>
      </c>
      <c r="L40" s="11">
        <f t="shared" si="4"/>
        <v>0</v>
      </c>
      <c r="M40" s="12">
        <v>1</v>
      </c>
      <c r="N40" s="12">
        <f t="shared" si="3"/>
        <v>0</v>
      </c>
      <c r="O40" s="5"/>
      <c r="P40" s="5"/>
    </row>
    <row r="41" spans="2:16" ht="13.8" x14ac:dyDescent="0.25">
      <c r="B41" s="1"/>
      <c r="C41" s="2"/>
      <c r="D41" s="2"/>
      <c r="E41" s="2"/>
      <c r="F41" s="69"/>
      <c r="G41" s="70"/>
      <c r="H41" s="2"/>
      <c r="I41" s="8">
        <v>0</v>
      </c>
      <c r="J41" s="8">
        <v>0</v>
      </c>
      <c r="K41" s="4">
        <v>0</v>
      </c>
      <c r="L41" s="11">
        <f t="shared" si="4"/>
        <v>0</v>
      </c>
      <c r="M41" s="12">
        <v>1</v>
      </c>
      <c r="N41" s="12">
        <f t="shared" si="3"/>
        <v>0</v>
      </c>
      <c r="O41" s="5"/>
      <c r="P41" s="5"/>
    </row>
    <row r="42" spans="2:16" ht="13.8" x14ac:dyDescent="0.25">
      <c r="B42" s="1"/>
      <c r="C42" s="2"/>
      <c r="D42" s="2"/>
      <c r="E42" s="2"/>
      <c r="F42" s="69"/>
      <c r="G42" s="70"/>
      <c r="H42" s="2"/>
      <c r="I42" s="8">
        <v>0</v>
      </c>
      <c r="J42" s="8">
        <v>0</v>
      </c>
      <c r="K42" s="4">
        <v>0</v>
      </c>
      <c r="L42" s="11">
        <f t="shared" si="4"/>
        <v>0</v>
      </c>
      <c r="M42" s="12">
        <v>1</v>
      </c>
      <c r="N42" s="12">
        <f t="shared" si="3"/>
        <v>0</v>
      </c>
      <c r="O42" s="5"/>
      <c r="P42" s="5"/>
    </row>
    <row r="43" spans="2:16" ht="13.8" x14ac:dyDescent="0.25">
      <c r="B43" s="1"/>
      <c r="C43" s="2"/>
      <c r="D43" s="2"/>
      <c r="E43" s="2"/>
      <c r="F43" s="69"/>
      <c r="G43" s="70"/>
      <c r="H43" s="2"/>
      <c r="I43" s="8">
        <v>0</v>
      </c>
      <c r="J43" s="8">
        <v>0</v>
      </c>
      <c r="K43" s="4">
        <v>0</v>
      </c>
      <c r="L43" s="11">
        <f t="shared" si="4"/>
        <v>0</v>
      </c>
      <c r="M43" s="12">
        <v>1</v>
      </c>
      <c r="N43" s="12">
        <f t="shared" si="3"/>
        <v>0</v>
      </c>
      <c r="O43" s="5"/>
      <c r="P43" s="5"/>
    </row>
    <row r="44" spans="2:16" ht="13.8" x14ac:dyDescent="0.25">
      <c r="B44" s="1"/>
      <c r="C44" s="2"/>
      <c r="D44" s="2"/>
      <c r="E44" s="2"/>
      <c r="F44" s="69"/>
      <c r="G44" s="70"/>
      <c r="H44" s="2"/>
      <c r="I44" s="8">
        <v>0</v>
      </c>
      <c r="J44" s="8">
        <v>0</v>
      </c>
      <c r="K44" s="4">
        <v>0</v>
      </c>
      <c r="L44" s="11">
        <f t="shared" si="4"/>
        <v>0</v>
      </c>
      <c r="M44" s="12">
        <v>1</v>
      </c>
      <c r="N44" s="12">
        <f t="shared" si="3"/>
        <v>0</v>
      </c>
      <c r="O44" s="5"/>
      <c r="P44" s="5"/>
    </row>
    <row r="45" spans="2:16" ht="13.8" x14ac:dyDescent="0.25">
      <c r="B45" s="1"/>
      <c r="C45" s="2"/>
      <c r="D45" s="2"/>
      <c r="E45" s="2"/>
      <c r="F45" s="69"/>
      <c r="G45" s="70"/>
      <c r="H45" s="2"/>
      <c r="I45" s="8">
        <v>0</v>
      </c>
      <c r="J45" s="8">
        <v>0</v>
      </c>
      <c r="K45" s="4">
        <v>0</v>
      </c>
      <c r="L45" s="11">
        <f t="shared" si="4"/>
        <v>0</v>
      </c>
      <c r="M45" s="12">
        <v>1</v>
      </c>
      <c r="N45" s="12">
        <f t="shared" si="3"/>
        <v>0</v>
      </c>
      <c r="O45" s="5"/>
      <c r="P45" s="5"/>
    </row>
    <row r="46" spans="2:16" ht="13.8" x14ac:dyDescent="0.25">
      <c r="B46" s="1"/>
      <c r="C46" s="2"/>
      <c r="D46" s="2"/>
      <c r="E46" s="2"/>
      <c r="F46" s="69"/>
      <c r="G46" s="70"/>
      <c r="H46" s="2"/>
      <c r="I46" s="8">
        <v>0</v>
      </c>
      <c r="J46" s="8">
        <v>0</v>
      </c>
      <c r="K46" s="4">
        <v>0</v>
      </c>
      <c r="L46" s="11">
        <f t="shared" si="4"/>
        <v>0</v>
      </c>
      <c r="M46" s="12">
        <v>1</v>
      </c>
      <c r="N46" s="12">
        <f t="shared" si="3"/>
        <v>0</v>
      </c>
      <c r="O46" s="5"/>
      <c r="P46" s="5"/>
    </row>
    <row r="47" spans="2:16" ht="13.8" x14ac:dyDescent="0.25">
      <c r="B47" s="1"/>
      <c r="C47" s="2"/>
      <c r="D47" s="2"/>
      <c r="E47" s="2"/>
      <c r="F47" s="69"/>
      <c r="G47" s="70"/>
      <c r="H47" s="2"/>
      <c r="I47" s="8">
        <v>0</v>
      </c>
      <c r="J47" s="8">
        <v>0</v>
      </c>
      <c r="K47" s="4">
        <v>0</v>
      </c>
      <c r="L47" s="11">
        <f t="shared" si="4"/>
        <v>0</v>
      </c>
      <c r="M47" s="12">
        <v>1</v>
      </c>
      <c r="N47" s="12">
        <f t="shared" si="3"/>
        <v>0</v>
      </c>
      <c r="O47" s="5"/>
      <c r="P47" s="5"/>
    </row>
    <row r="48" spans="2:16" ht="13.8" x14ac:dyDescent="0.25">
      <c r="B48" s="1"/>
      <c r="C48" s="2"/>
      <c r="D48" s="2"/>
      <c r="E48" s="2"/>
      <c r="F48" s="69"/>
      <c r="G48" s="70"/>
      <c r="H48" s="2"/>
      <c r="I48" s="8">
        <v>0</v>
      </c>
      <c r="J48" s="8">
        <v>0</v>
      </c>
      <c r="K48" s="4">
        <v>0</v>
      </c>
      <c r="L48" s="11">
        <f t="shared" si="4"/>
        <v>0</v>
      </c>
      <c r="M48" s="12">
        <v>1</v>
      </c>
      <c r="N48" s="12">
        <f t="shared" si="3"/>
        <v>0</v>
      </c>
      <c r="O48" s="5"/>
      <c r="P48" s="5"/>
    </row>
    <row r="49" spans="2:16" ht="13.8" x14ac:dyDescent="0.25">
      <c r="B49" s="1"/>
      <c r="C49" s="2"/>
      <c r="D49" s="2"/>
      <c r="E49" s="2"/>
      <c r="F49" s="69"/>
      <c r="G49" s="70"/>
      <c r="H49" s="2"/>
      <c r="I49" s="8">
        <v>0</v>
      </c>
      <c r="J49" s="8">
        <v>0</v>
      </c>
      <c r="K49" s="4">
        <v>0</v>
      </c>
      <c r="L49" s="11">
        <f t="shared" si="4"/>
        <v>0</v>
      </c>
      <c r="M49" s="12">
        <v>1</v>
      </c>
      <c r="N49" s="12">
        <f t="shared" si="3"/>
        <v>0</v>
      </c>
      <c r="O49" s="5"/>
      <c r="P49" s="5"/>
    </row>
    <row r="50" spans="2:16" ht="13.8" x14ac:dyDescent="0.25">
      <c r="B50" s="1"/>
      <c r="C50" s="2"/>
      <c r="D50" s="2"/>
      <c r="E50" s="2"/>
      <c r="F50" s="69"/>
      <c r="G50" s="70"/>
      <c r="H50" s="2"/>
      <c r="I50" s="8">
        <v>0</v>
      </c>
      <c r="J50" s="8">
        <v>0</v>
      </c>
      <c r="K50" s="4">
        <v>0</v>
      </c>
      <c r="L50" s="11">
        <f t="shared" si="4"/>
        <v>0</v>
      </c>
      <c r="M50" s="12">
        <v>1</v>
      </c>
      <c r="N50" s="12">
        <f t="shared" si="3"/>
        <v>0</v>
      </c>
      <c r="O50" s="5"/>
      <c r="P50" s="5"/>
    </row>
    <row r="51" spans="2:16" ht="13.8" x14ac:dyDescent="0.25">
      <c r="B51" s="1"/>
      <c r="C51" s="2"/>
      <c r="D51" s="2"/>
      <c r="E51" s="2"/>
      <c r="F51" s="69"/>
      <c r="G51" s="70"/>
      <c r="H51" s="2"/>
      <c r="I51" s="8">
        <v>0</v>
      </c>
      <c r="J51" s="8">
        <v>0</v>
      </c>
      <c r="K51" s="4">
        <v>0</v>
      </c>
      <c r="L51" s="11">
        <f t="shared" si="4"/>
        <v>0</v>
      </c>
      <c r="M51" s="12">
        <v>1</v>
      </c>
      <c r="N51" s="12">
        <f t="shared" si="3"/>
        <v>0</v>
      </c>
      <c r="O51" s="5"/>
      <c r="P51" s="5"/>
    </row>
    <row r="52" spans="2:16" ht="13.8" x14ac:dyDescent="0.25">
      <c r="B52" s="1"/>
      <c r="C52" s="2"/>
      <c r="D52" s="2"/>
      <c r="E52" s="2"/>
      <c r="F52" s="69"/>
      <c r="G52" s="70"/>
      <c r="H52" s="2"/>
      <c r="I52" s="8">
        <v>0</v>
      </c>
      <c r="J52" s="8">
        <v>0</v>
      </c>
      <c r="K52" s="4">
        <v>0</v>
      </c>
      <c r="L52" s="11">
        <f t="shared" si="4"/>
        <v>0</v>
      </c>
      <c r="M52" s="12">
        <v>1</v>
      </c>
      <c r="N52" s="12">
        <f t="shared" si="3"/>
        <v>0</v>
      </c>
      <c r="O52" s="5"/>
      <c r="P52" s="5"/>
    </row>
    <row r="53" spans="2:16" ht="13.8" x14ac:dyDescent="0.25">
      <c r="B53" s="1"/>
      <c r="C53" s="2"/>
      <c r="D53" s="2"/>
      <c r="E53" s="2"/>
      <c r="F53" s="69"/>
      <c r="G53" s="70"/>
      <c r="H53" s="2"/>
      <c r="I53" s="8">
        <v>0</v>
      </c>
      <c r="J53" s="8">
        <v>0</v>
      </c>
      <c r="K53" s="4">
        <v>0</v>
      </c>
      <c r="L53" s="11">
        <f t="shared" si="4"/>
        <v>0</v>
      </c>
      <c r="M53" s="12">
        <v>1</v>
      </c>
      <c r="N53" s="12">
        <f t="shared" si="3"/>
        <v>0</v>
      </c>
      <c r="O53" s="5"/>
      <c r="P53" s="5"/>
    </row>
    <row r="54" spans="2:16" ht="13.8" x14ac:dyDescent="0.25">
      <c r="B54" s="1"/>
      <c r="C54" s="2"/>
      <c r="D54" s="2"/>
      <c r="E54" s="2"/>
      <c r="F54" s="69"/>
      <c r="G54" s="70"/>
      <c r="H54" s="2"/>
      <c r="I54" s="8">
        <v>0</v>
      </c>
      <c r="J54" s="8">
        <v>0</v>
      </c>
      <c r="K54" s="4">
        <v>0</v>
      </c>
      <c r="L54" s="11">
        <f t="shared" si="4"/>
        <v>0</v>
      </c>
      <c r="M54" s="12">
        <v>1</v>
      </c>
      <c r="N54" s="12">
        <f t="shared" si="3"/>
        <v>0</v>
      </c>
      <c r="O54" s="5"/>
      <c r="P54" s="5"/>
    </row>
    <row r="55" spans="2:16" ht="13.8" x14ac:dyDescent="0.25">
      <c r="B55" s="1"/>
      <c r="C55" s="2"/>
      <c r="D55" s="2"/>
      <c r="E55" s="2"/>
      <c r="F55" s="69"/>
      <c r="G55" s="70"/>
      <c r="H55" s="2"/>
      <c r="I55" s="8">
        <v>0</v>
      </c>
      <c r="J55" s="8">
        <v>0</v>
      </c>
      <c r="K55" s="4">
        <v>0</v>
      </c>
      <c r="L55" s="11">
        <f t="shared" si="4"/>
        <v>0</v>
      </c>
      <c r="M55" s="12">
        <v>1</v>
      </c>
      <c r="N55" s="12">
        <f t="shared" si="3"/>
        <v>0</v>
      </c>
      <c r="O55" s="5"/>
      <c r="P55" s="5"/>
    </row>
    <row r="56" spans="2:16" ht="13.8" x14ac:dyDescent="0.25">
      <c r="B56" s="1"/>
      <c r="C56" s="2"/>
      <c r="D56" s="2"/>
      <c r="E56" s="2"/>
      <c r="F56" s="69"/>
      <c r="G56" s="70"/>
      <c r="H56" s="2"/>
      <c r="I56" s="8">
        <v>0</v>
      </c>
      <c r="J56" s="8">
        <v>0</v>
      </c>
      <c r="K56" s="4">
        <v>0</v>
      </c>
      <c r="L56" s="11">
        <f t="shared" si="4"/>
        <v>0</v>
      </c>
      <c r="M56" s="12">
        <v>1</v>
      </c>
      <c r="N56" s="12">
        <f t="shared" si="3"/>
        <v>0</v>
      </c>
      <c r="O56" s="5"/>
      <c r="P56" s="5"/>
    </row>
    <row r="57" spans="2:16" ht="13.8" x14ac:dyDescent="0.25">
      <c r="B57" s="1"/>
      <c r="C57" s="2"/>
      <c r="D57" s="2"/>
      <c r="E57" s="2"/>
      <c r="F57" s="69"/>
      <c r="G57" s="70"/>
      <c r="H57" s="2"/>
      <c r="I57" s="8">
        <v>0</v>
      </c>
      <c r="J57" s="8">
        <v>0</v>
      </c>
      <c r="K57" s="4">
        <v>0</v>
      </c>
      <c r="L57" s="11">
        <f t="shared" si="4"/>
        <v>0</v>
      </c>
      <c r="M57" s="12">
        <v>1</v>
      </c>
      <c r="N57" s="12">
        <f t="shared" si="3"/>
        <v>0</v>
      </c>
      <c r="O57" s="5"/>
      <c r="P57" s="5"/>
    </row>
    <row r="58" spans="2:16" ht="13.8" x14ac:dyDescent="0.25">
      <c r="B58" s="1"/>
      <c r="C58" s="2"/>
      <c r="D58" s="2"/>
      <c r="E58" s="2"/>
      <c r="F58" s="69"/>
      <c r="G58" s="70"/>
      <c r="H58" s="2"/>
      <c r="I58" s="8">
        <v>0</v>
      </c>
      <c r="J58" s="8">
        <v>0</v>
      </c>
      <c r="K58" s="4">
        <v>0</v>
      </c>
      <c r="L58" s="11">
        <f t="shared" si="4"/>
        <v>0</v>
      </c>
      <c r="M58" s="12">
        <v>1</v>
      </c>
      <c r="N58" s="12">
        <f t="shared" si="3"/>
        <v>0</v>
      </c>
      <c r="O58" s="5"/>
      <c r="P58" s="5"/>
    </row>
    <row r="59" spans="2:16" ht="13.8" x14ac:dyDescent="0.25">
      <c r="B59" s="1"/>
      <c r="C59" s="2"/>
      <c r="D59" s="2"/>
      <c r="E59" s="2"/>
      <c r="F59" s="69"/>
      <c r="G59" s="70"/>
      <c r="H59" s="2"/>
      <c r="I59" s="8">
        <v>0</v>
      </c>
      <c r="J59" s="8">
        <v>0</v>
      </c>
      <c r="K59" s="4">
        <v>0</v>
      </c>
      <c r="L59" s="11">
        <f t="shared" si="4"/>
        <v>0</v>
      </c>
      <c r="M59" s="12">
        <v>1</v>
      </c>
      <c r="N59" s="12">
        <f t="shared" si="3"/>
        <v>0</v>
      </c>
      <c r="O59" s="5"/>
      <c r="P59" s="5"/>
    </row>
    <row r="60" spans="2:16" ht="13.8" x14ac:dyDescent="0.25">
      <c r="B60" s="1"/>
      <c r="C60" s="2"/>
      <c r="D60" s="2"/>
      <c r="E60" s="2"/>
      <c r="F60" s="69"/>
      <c r="G60" s="70"/>
      <c r="H60" s="2"/>
      <c r="I60" s="8">
        <v>0</v>
      </c>
      <c r="J60" s="8">
        <v>0</v>
      </c>
      <c r="K60" s="4">
        <v>0</v>
      </c>
      <c r="L60" s="11">
        <f t="shared" si="4"/>
        <v>0</v>
      </c>
      <c r="M60" s="12">
        <v>1</v>
      </c>
      <c r="N60" s="12">
        <f t="shared" si="3"/>
        <v>0</v>
      </c>
      <c r="O60" s="5"/>
      <c r="P60" s="5"/>
    </row>
    <row r="61" spans="2:16" ht="13.8" x14ac:dyDescent="0.25">
      <c r="B61" s="1"/>
      <c r="C61" s="2"/>
      <c r="D61" s="2"/>
      <c r="E61" s="2"/>
      <c r="F61" s="69"/>
      <c r="G61" s="70"/>
      <c r="H61" s="2"/>
      <c r="I61" s="8">
        <v>0</v>
      </c>
      <c r="J61" s="8">
        <v>0</v>
      </c>
      <c r="K61" s="4">
        <v>0</v>
      </c>
      <c r="L61" s="11">
        <f t="shared" si="4"/>
        <v>0</v>
      </c>
      <c r="M61" s="12">
        <v>1</v>
      </c>
      <c r="N61" s="12">
        <f t="shared" si="3"/>
        <v>0</v>
      </c>
      <c r="O61" s="5"/>
      <c r="P61" s="5"/>
    </row>
    <row r="62" spans="2:16" ht="13.8" x14ac:dyDescent="0.25">
      <c r="B62" s="1"/>
      <c r="C62" s="2"/>
      <c r="D62" s="2"/>
      <c r="E62" s="2"/>
      <c r="F62" s="69"/>
      <c r="G62" s="70"/>
      <c r="H62" s="2"/>
      <c r="I62" s="8">
        <v>0</v>
      </c>
      <c r="J62" s="8">
        <v>0</v>
      </c>
      <c r="K62" s="4">
        <v>0</v>
      </c>
      <c r="L62" s="11">
        <f t="shared" si="4"/>
        <v>0</v>
      </c>
      <c r="M62" s="12">
        <v>1</v>
      </c>
      <c r="N62" s="12">
        <f t="shared" si="3"/>
        <v>0</v>
      </c>
      <c r="O62" s="5"/>
      <c r="P62" s="5"/>
    </row>
    <row r="63" spans="2:16" ht="13.8" x14ac:dyDescent="0.25">
      <c r="B63" s="1"/>
      <c r="C63" s="2"/>
      <c r="D63" s="2"/>
      <c r="E63" s="2"/>
      <c r="F63" s="69"/>
      <c r="G63" s="70"/>
      <c r="H63" s="2"/>
      <c r="I63" s="8">
        <v>0</v>
      </c>
      <c r="J63" s="8">
        <v>0</v>
      </c>
      <c r="K63" s="4">
        <v>0</v>
      </c>
      <c r="L63" s="11">
        <f t="shared" si="4"/>
        <v>0</v>
      </c>
      <c r="M63" s="12">
        <v>1</v>
      </c>
      <c r="N63" s="12">
        <f t="shared" si="3"/>
        <v>0</v>
      </c>
      <c r="O63" s="5"/>
      <c r="P63" s="5"/>
    </row>
    <row r="64" spans="2:16" ht="13.8" x14ac:dyDescent="0.25">
      <c r="B64" s="1"/>
      <c r="C64" s="2"/>
      <c r="D64" s="2"/>
      <c r="E64" s="2"/>
      <c r="F64" s="69"/>
      <c r="G64" s="70"/>
      <c r="H64" s="2"/>
      <c r="I64" s="8">
        <v>0</v>
      </c>
      <c r="J64" s="8">
        <v>0</v>
      </c>
      <c r="K64" s="4">
        <v>0</v>
      </c>
      <c r="L64" s="11">
        <f t="shared" si="4"/>
        <v>0</v>
      </c>
      <c r="M64" s="12">
        <v>1</v>
      </c>
      <c r="N64" s="12">
        <f t="shared" si="3"/>
        <v>0</v>
      </c>
      <c r="O64" s="5"/>
      <c r="P64" s="5"/>
    </row>
    <row r="65" spans="2:16" ht="13.8" x14ac:dyDescent="0.25">
      <c r="B65" s="1"/>
      <c r="C65" s="2"/>
      <c r="D65" s="2"/>
      <c r="E65" s="2"/>
      <c r="F65" s="69"/>
      <c r="G65" s="70"/>
      <c r="H65" s="2"/>
      <c r="I65" s="8">
        <v>0</v>
      </c>
      <c r="J65" s="8">
        <v>0</v>
      </c>
      <c r="K65" s="4">
        <v>0</v>
      </c>
      <c r="L65" s="11">
        <f t="shared" si="4"/>
        <v>0</v>
      </c>
      <c r="M65" s="12">
        <v>1</v>
      </c>
      <c r="N65" s="12">
        <f t="shared" si="3"/>
        <v>0</v>
      </c>
      <c r="O65" s="5"/>
      <c r="P65" s="5"/>
    </row>
    <row r="66" spans="2:16" ht="13.8" x14ac:dyDescent="0.25">
      <c r="B66" s="1"/>
      <c r="C66" s="2"/>
      <c r="D66" s="2"/>
      <c r="E66" s="2"/>
      <c r="F66" s="69"/>
      <c r="G66" s="70"/>
      <c r="H66" s="2"/>
      <c r="I66" s="8">
        <v>0</v>
      </c>
      <c r="J66" s="8">
        <v>0</v>
      </c>
      <c r="K66" s="4">
        <v>0</v>
      </c>
      <c r="L66" s="11">
        <f t="shared" si="4"/>
        <v>0</v>
      </c>
      <c r="M66" s="12">
        <v>1</v>
      </c>
      <c r="N66" s="12">
        <f t="shared" si="3"/>
        <v>0</v>
      </c>
      <c r="O66" s="5"/>
      <c r="P66" s="5"/>
    </row>
    <row r="67" spans="2:16" ht="13.8" x14ac:dyDescent="0.25">
      <c r="B67" s="1"/>
      <c r="C67" s="2"/>
      <c r="D67" s="2"/>
      <c r="E67" s="2"/>
      <c r="F67" s="69"/>
      <c r="G67" s="70"/>
      <c r="H67" s="2"/>
      <c r="I67" s="8">
        <v>0</v>
      </c>
      <c r="J67" s="8">
        <v>0</v>
      </c>
      <c r="K67" s="4">
        <v>0</v>
      </c>
      <c r="L67" s="11">
        <f t="shared" si="4"/>
        <v>0</v>
      </c>
      <c r="M67" s="12">
        <v>1</v>
      </c>
      <c r="N67" s="12">
        <f t="shared" si="3"/>
        <v>0</v>
      </c>
      <c r="O67" s="5"/>
      <c r="P67" s="5"/>
    </row>
    <row r="68" spans="2:16" ht="13.8" x14ac:dyDescent="0.25">
      <c r="B68" s="1"/>
      <c r="C68" s="2"/>
      <c r="D68" s="2"/>
      <c r="E68" s="2"/>
      <c r="F68" s="69"/>
      <c r="G68" s="70"/>
      <c r="H68" s="2"/>
      <c r="I68" s="8">
        <v>0</v>
      </c>
      <c r="J68" s="8">
        <v>0</v>
      </c>
      <c r="K68" s="4">
        <v>0</v>
      </c>
      <c r="L68" s="11">
        <f t="shared" si="4"/>
        <v>0</v>
      </c>
      <c r="M68" s="12">
        <v>1</v>
      </c>
      <c r="N68" s="12">
        <f t="shared" si="3"/>
        <v>0</v>
      </c>
      <c r="O68" s="5"/>
      <c r="P68" s="5"/>
    </row>
    <row r="69" spans="2:16" ht="13.8" x14ac:dyDescent="0.25">
      <c r="B69" s="1"/>
      <c r="C69" s="2"/>
      <c r="D69" s="2"/>
      <c r="E69" s="2"/>
      <c r="F69" s="69"/>
      <c r="G69" s="70"/>
      <c r="H69" s="2"/>
      <c r="I69" s="8">
        <v>0</v>
      </c>
      <c r="J69" s="8">
        <v>0</v>
      </c>
      <c r="K69" s="4">
        <v>0</v>
      </c>
      <c r="L69" s="11">
        <f t="shared" si="4"/>
        <v>0</v>
      </c>
      <c r="M69" s="12">
        <v>1</v>
      </c>
      <c r="N69" s="12">
        <f t="shared" si="3"/>
        <v>0</v>
      </c>
      <c r="O69" s="5"/>
      <c r="P69" s="5"/>
    </row>
    <row r="70" spans="2:16" ht="13.8" x14ac:dyDescent="0.25">
      <c r="B70" s="1"/>
      <c r="C70" s="2"/>
      <c r="D70" s="2"/>
      <c r="E70" s="2"/>
      <c r="F70" s="69"/>
      <c r="G70" s="70"/>
      <c r="H70" s="2"/>
      <c r="I70" s="8">
        <v>0</v>
      </c>
      <c r="J70" s="8">
        <v>0</v>
      </c>
      <c r="K70" s="4">
        <v>0</v>
      </c>
      <c r="L70" s="11">
        <f t="shared" si="4"/>
        <v>0</v>
      </c>
      <c r="M70" s="12">
        <v>1</v>
      </c>
      <c r="N70" s="12">
        <f t="shared" si="3"/>
        <v>0</v>
      </c>
      <c r="O70" s="5"/>
      <c r="P70" s="5"/>
    </row>
    <row r="71" spans="2:16" ht="13.8" x14ac:dyDescent="0.25">
      <c r="B71" s="1"/>
      <c r="C71" s="2"/>
      <c r="D71" s="2"/>
      <c r="E71" s="2"/>
      <c r="F71" s="69"/>
      <c r="G71" s="70"/>
      <c r="H71" s="2"/>
      <c r="I71" s="8">
        <v>0</v>
      </c>
      <c r="J71" s="8">
        <v>0</v>
      </c>
      <c r="K71" s="4">
        <v>0</v>
      </c>
      <c r="L71" s="11">
        <f t="shared" si="4"/>
        <v>0</v>
      </c>
      <c r="M71" s="12">
        <v>1</v>
      </c>
      <c r="N71" s="12">
        <f t="shared" si="3"/>
        <v>0</v>
      </c>
      <c r="O71" s="5"/>
      <c r="P71" s="5"/>
    </row>
    <row r="72" spans="2:16" ht="13.8" x14ac:dyDescent="0.25">
      <c r="B72" s="1"/>
      <c r="C72" s="2"/>
      <c r="D72" s="2"/>
      <c r="E72" s="2"/>
      <c r="F72" s="69"/>
      <c r="G72" s="70"/>
      <c r="H72" s="2"/>
      <c r="I72" s="8">
        <v>0</v>
      </c>
      <c r="J72" s="8">
        <v>0</v>
      </c>
      <c r="K72" s="4">
        <v>0</v>
      </c>
      <c r="L72" s="11">
        <f t="shared" si="4"/>
        <v>0</v>
      </c>
      <c r="M72" s="12">
        <v>1</v>
      </c>
      <c r="N72" s="12">
        <f t="shared" si="3"/>
        <v>0</v>
      </c>
      <c r="O72" s="5"/>
      <c r="P72" s="5"/>
    </row>
    <row r="73" spans="2:16" ht="13.8" x14ac:dyDescent="0.25">
      <c r="B73" s="1"/>
      <c r="C73" s="2"/>
      <c r="D73" s="2"/>
      <c r="E73" s="2"/>
      <c r="F73" s="69"/>
      <c r="G73" s="70"/>
      <c r="H73" s="2"/>
      <c r="I73" s="8">
        <v>0</v>
      </c>
      <c r="J73" s="8">
        <v>0</v>
      </c>
      <c r="K73" s="4">
        <v>0</v>
      </c>
      <c r="L73" s="11">
        <f t="shared" si="4"/>
        <v>0</v>
      </c>
      <c r="M73" s="12">
        <v>1</v>
      </c>
      <c r="N73" s="12">
        <f t="shared" si="3"/>
        <v>0</v>
      </c>
      <c r="O73" s="5"/>
      <c r="P73" s="5"/>
    </row>
    <row r="74" spans="2:16" ht="13.8" x14ac:dyDescent="0.25">
      <c r="B74" s="1"/>
      <c r="C74" s="2"/>
      <c r="D74" s="2"/>
      <c r="E74" s="2"/>
      <c r="F74" s="69"/>
      <c r="G74" s="70"/>
      <c r="H74" s="2"/>
      <c r="I74" s="8">
        <v>0</v>
      </c>
      <c r="J74" s="8">
        <v>0</v>
      </c>
      <c r="K74" s="4">
        <v>0</v>
      </c>
      <c r="L74" s="11">
        <f t="shared" si="4"/>
        <v>0</v>
      </c>
      <c r="M74" s="12">
        <v>1</v>
      </c>
      <c r="N74" s="12">
        <f t="shared" si="3"/>
        <v>0</v>
      </c>
      <c r="O74" s="5"/>
      <c r="P74" s="5"/>
    </row>
    <row r="75" spans="2:16" ht="13.8" x14ac:dyDescent="0.25">
      <c r="B75" s="1"/>
      <c r="C75" s="2"/>
      <c r="D75" s="2"/>
      <c r="E75" s="2"/>
      <c r="F75" s="69"/>
      <c r="G75" s="70"/>
      <c r="H75" s="2"/>
      <c r="I75" s="8">
        <v>0</v>
      </c>
      <c r="J75" s="8">
        <v>0</v>
      </c>
      <c r="K75" s="4">
        <v>0</v>
      </c>
      <c r="L75" s="11">
        <f t="shared" si="4"/>
        <v>0</v>
      </c>
      <c r="M75" s="12">
        <v>1</v>
      </c>
      <c r="N75" s="12">
        <f t="shared" si="3"/>
        <v>0</v>
      </c>
      <c r="O75" s="5"/>
      <c r="P75" s="5"/>
    </row>
    <row r="76" spans="2:16" ht="13.8" x14ac:dyDescent="0.25">
      <c r="B76" s="1"/>
      <c r="C76" s="2"/>
      <c r="D76" s="2"/>
      <c r="E76" s="2"/>
      <c r="F76" s="69"/>
      <c r="G76" s="70"/>
      <c r="H76" s="2"/>
      <c r="I76" s="8">
        <v>0</v>
      </c>
      <c r="J76" s="8">
        <v>0</v>
      </c>
      <c r="K76" s="4">
        <v>0</v>
      </c>
      <c r="L76" s="11">
        <f t="shared" si="4"/>
        <v>0</v>
      </c>
      <c r="M76" s="12">
        <v>1</v>
      </c>
      <c r="N76" s="12">
        <f t="shared" si="3"/>
        <v>0</v>
      </c>
      <c r="O76" s="5"/>
      <c r="P76" s="5"/>
    </row>
    <row r="77" spans="2:16" ht="13.8" x14ac:dyDescent="0.25">
      <c r="B77" s="1"/>
      <c r="C77" s="2"/>
      <c r="D77" s="2"/>
      <c r="E77" s="2"/>
      <c r="F77" s="69"/>
      <c r="G77" s="70"/>
      <c r="H77" s="2"/>
      <c r="I77" s="8">
        <v>0</v>
      </c>
      <c r="J77" s="8">
        <v>0</v>
      </c>
      <c r="K77" s="4">
        <v>0</v>
      </c>
      <c r="L77" s="11">
        <f t="shared" si="4"/>
        <v>0</v>
      </c>
      <c r="M77" s="12">
        <v>1</v>
      </c>
      <c r="N77" s="12">
        <f t="shared" si="3"/>
        <v>0</v>
      </c>
      <c r="O77" s="5"/>
      <c r="P77" s="5"/>
    </row>
    <row r="78" spans="2:16" ht="13.8" x14ac:dyDescent="0.25">
      <c r="B78" s="1"/>
      <c r="C78" s="2"/>
      <c r="D78" s="2"/>
      <c r="E78" s="2"/>
      <c r="F78" s="69"/>
      <c r="G78" s="70"/>
      <c r="H78" s="2"/>
      <c r="I78" s="8">
        <v>0</v>
      </c>
      <c r="J78" s="8">
        <v>0</v>
      </c>
      <c r="K78" s="4">
        <v>0</v>
      </c>
      <c r="L78" s="11">
        <f t="shared" si="4"/>
        <v>0</v>
      </c>
      <c r="M78" s="12">
        <v>1</v>
      </c>
      <c r="N78" s="12">
        <f t="shared" si="3"/>
        <v>0</v>
      </c>
      <c r="O78" s="5"/>
      <c r="P78" s="5"/>
    </row>
    <row r="79" spans="2:16" ht="13.8" x14ac:dyDescent="0.25">
      <c r="B79" s="1"/>
      <c r="C79" s="2"/>
      <c r="D79" s="2"/>
      <c r="E79" s="2"/>
      <c r="F79" s="69"/>
      <c r="G79" s="70"/>
      <c r="H79" s="2"/>
      <c r="I79" s="8">
        <v>0</v>
      </c>
      <c r="J79" s="8">
        <v>0</v>
      </c>
      <c r="K79" s="4">
        <v>0</v>
      </c>
      <c r="L79" s="11">
        <f t="shared" si="4"/>
        <v>0</v>
      </c>
      <c r="M79" s="12">
        <v>1</v>
      </c>
      <c r="N79" s="12">
        <f t="shared" si="3"/>
        <v>0</v>
      </c>
      <c r="O79" s="5"/>
      <c r="P79" s="5"/>
    </row>
    <row r="80" spans="2:16" ht="13.8" x14ac:dyDescent="0.25">
      <c r="B80" s="1"/>
      <c r="C80" s="2"/>
      <c r="D80" s="2"/>
      <c r="E80" s="2"/>
      <c r="F80" s="69"/>
      <c r="G80" s="70"/>
      <c r="H80" s="2"/>
      <c r="I80" s="8">
        <v>0</v>
      </c>
      <c r="J80" s="8">
        <v>0</v>
      </c>
      <c r="K80" s="4">
        <v>0</v>
      </c>
      <c r="L80" s="11">
        <f t="shared" si="4"/>
        <v>0</v>
      </c>
      <c r="M80" s="12">
        <v>1</v>
      </c>
      <c r="N80" s="12">
        <f t="shared" si="3"/>
        <v>0</v>
      </c>
      <c r="O80" s="5"/>
      <c r="P80" s="5"/>
    </row>
    <row r="81" spans="2:16" ht="13.8" x14ac:dyDescent="0.25">
      <c r="B81" s="1"/>
      <c r="C81" s="2"/>
      <c r="D81" s="2"/>
      <c r="E81" s="2"/>
      <c r="F81" s="69"/>
      <c r="G81" s="70"/>
      <c r="H81" s="2"/>
      <c r="I81" s="8">
        <v>0</v>
      </c>
      <c r="J81" s="8">
        <v>0</v>
      </c>
      <c r="K81" s="4">
        <v>0</v>
      </c>
      <c r="L81" s="11">
        <f t="shared" ref="L81:L119" si="5">((J81-I81+(J81&lt;I81))*1440)-K81</f>
        <v>0</v>
      </c>
      <c r="M81" s="12">
        <v>1</v>
      </c>
      <c r="N81" s="12">
        <f t="shared" ref="N81:N119" si="6">L81/M81</f>
        <v>0</v>
      </c>
      <c r="O81" s="5"/>
      <c r="P81" s="5"/>
    </row>
    <row r="82" spans="2:16" ht="13.8" x14ac:dyDescent="0.25">
      <c r="B82" s="1"/>
      <c r="C82" s="2"/>
      <c r="D82" s="2"/>
      <c r="E82" s="2"/>
      <c r="F82" s="69"/>
      <c r="G82" s="70"/>
      <c r="H82" s="2"/>
      <c r="I82" s="8">
        <v>0</v>
      </c>
      <c r="J82" s="8">
        <v>0</v>
      </c>
      <c r="K82" s="4">
        <v>0</v>
      </c>
      <c r="L82" s="11">
        <f t="shared" si="5"/>
        <v>0</v>
      </c>
      <c r="M82" s="12">
        <v>1</v>
      </c>
      <c r="N82" s="12">
        <f t="shared" si="6"/>
        <v>0</v>
      </c>
      <c r="O82" s="5"/>
      <c r="P82" s="5"/>
    </row>
    <row r="83" spans="2:16" ht="13.8" x14ac:dyDescent="0.25">
      <c r="B83" s="1"/>
      <c r="C83" s="2"/>
      <c r="D83" s="2"/>
      <c r="E83" s="2"/>
      <c r="F83" s="69"/>
      <c r="G83" s="70"/>
      <c r="H83" s="2"/>
      <c r="I83" s="8">
        <v>0</v>
      </c>
      <c r="J83" s="8">
        <v>0</v>
      </c>
      <c r="K83" s="4">
        <v>0</v>
      </c>
      <c r="L83" s="11">
        <f t="shared" si="5"/>
        <v>0</v>
      </c>
      <c r="M83" s="12">
        <v>1</v>
      </c>
      <c r="N83" s="12">
        <f t="shared" si="6"/>
        <v>0</v>
      </c>
      <c r="O83" s="5"/>
      <c r="P83" s="5"/>
    </row>
    <row r="84" spans="2:16" ht="13.8" x14ac:dyDescent="0.25">
      <c r="B84" s="1"/>
      <c r="C84" s="2"/>
      <c r="D84" s="2"/>
      <c r="E84" s="2"/>
      <c r="F84" s="69"/>
      <c r="G84" s="70"/>
      <c r="H84" s="2"/>
      <c r="I84" s="8">
        <v>0</v>
      </c>
      <c r="J84" s="8">
        <v>0</v>
      </c>
      <c r="K84" s="4">
        <v>0</v>
      </c>
      <c r="L84" s="11">
        <f t="shared" si="5"/>
        <v>0</v>
      </c>
      <c r="M84" s="12">
        <v>1</v>
      </c>
      <c r="N84" s="12">
        <f t="shared" si="6"/>
        <v>0</v>
      </c>
      <c r="O84" s="5"/>
      <c r="P84" s="5"/>
    </row>
    <row r="85" spans="2:16" ht="13.8" x14ac:dyDescent="0.25">
      <c r="B85" s="1"/>
      <c r="C85" s="2"/>
      <c r="D85" s="2"/>
      <c r="E85" s="2"/>
      <c r="F85" s="69"/>
      <c r="G85" s="70"/>
      <c r="H85" s="2"/>
      <c r="I85" s="8">
        <v>0</v>
      </c>
      <c r="J85" s="8">
        <v>0</v>
      </c>
      <c r="K85" s="4">
        <v>0</v>
      </c>
      <c r="L85" s="11">
        <f t="shared" si="5"/>
        <v>0</v>
      </c>
      <c r="M85" s="12">
        <v>1</v>
      </c>
      <c r="N85" s="12">
        <f t="shared" si="6"/>
        <v>0</v>
      </c>
      <c r="O85" s="5"/>
      <c r="P85" s="5"/>
    </row>
    <row r="86" spans="2:16" ht="13.8" x14ac:dyDescent="0.25">
      <c r="B86" s="1"/>
      <c r="C86" s="2"/>
      <c r="D86" s="2"/>
      <c r="E86" s="2"/>
      <c r="F86" s="69"/>
      <c r="G86" s="70"/>
      <c r="H86" s="2"/>
      <c r="I86" s="8">
        <v>0</v>
      </c>
      <c r="J86" s="8">
        <v>0</v>
      </c>
      <c r="K86" s="4">
        <v>0</v>
      </c>
      <c r="L86" s="11">
        <f t="shared" si="5"/>
        <v>0</v>
      </c>
      <c r="M86" s="12">
        <v>1</v>
      </c>
      <c r="N86" s="12">
        <f t="shared" si="6"/>
        <v>0</v>
      </c>
      <c r="O86" s="5"/>
      <c r="P86" s="5"/>
    </row>
    <row r="87" spans="2:16" ht="13.8" x14ac:dyDescent="0.25">
      <c r="B87" s="1"/>
      <c r="C87" s="2"/>
      <c r="D87" s="2"/>
      <c r="E87" s="2"/>
      <c r="F87" s="69"/>
      <c r="G87" s="70"/>
      <c r="H87" s="2"/>
      <c r="I87" s="8">
        <v>0</v>
      </c>
      <c r="J87" s="8">
        <v>0</v>
      </c>
      <c r="K87" s="4">
        <v>0</v>
      </c>
      <c r="L87" s="11">
        <f t="shared" si="5"/>
        <v>0</v>
      </c>
      <c r="M87" s="12">
        <v>1</v>
      </c>
      <c r="N87" s="12">
        <f t="shared" si="6"/>
        <v>0</v>
      </c>
      <c r="O87" s="5"/>
      <c r="P87" s="5"/>
    </row>
    <row r="88" spans="2:16" ht="13.8" x14ac:dyDescent="0.25">
      <c r="B88" s="1"/>
      <c r="C88" s="2"/>
      <c r="D88" s="2"/>
      <c r="E88" s="2"/>
      <c r="F88" s="69"/>
      <c r="G88" s="70"/>
      <c r="H88" s="2"/>
      <c r="I88" s="8">
        <v>0</v>
      </c>
      <c r="J88" s="8">
        <v>0</v>
      </c>
      <c r="K88" s="4">
        <v>0</v>
      </c>
      <c r="L88" s="11">
        <f t="shared" si="5"/>
        <v>0</v>
      </c>
      <c r="M88" s="12">
        <v>1</v>
      </c>
      <c r="N88" s="12">
        <f t="shared" si="6"/>
        <v>0</v>
      </c>
      <c r="O88" s="5"/>
      <c r="P88" s="5"/>
    </row>
    <row r="89" spans="2:16" ht="13.8" x14ac:dyDescent="0.25">
      <c r="B89" s="1"/>
      <c r="C89" s="2"/>
      <c r="D89" s="2"/>
      <c r="E89" s="2"/>
      <c r="F89" s="69"/>
      <c r="G89" s="70"/>
      <c r="H89" s="2"/>
      <c r="I89" s="8">
        <v>0</v>
      </c>
      <c r="J89" s="8">
        <v>0</v>
      </c>
      <c r="K89" s="4">
        <v>0</v>
      </c>
      <c r="L89" s="11">
        <f t="shared" si="5"/>
        <v>0</v>
      </c>
      <c r="M89" s="12">
        <v>1</v>
      </c>
      <c r="N89" s="12">
        <f t="shared" si="6"/>
        <v>0</v>
      </c>
      <c r="O89" s="5"/>
      <c r="P89" s="5"/>
    </row>
    <row r="90" spans="2:16" ht="13.8" x14ac:dyDescent="0.25">
      <c r="B90" s="1"/>
      <c r="C90" s="2"/>
      <c r="D90" s="2"/>
      <c r="E90" s="2"/>
      <c r="F90" s="69"/>
      <c r="G90" s="70"/>
      <c r="H90" s="2"/>
      <c r="I90" s="8">
        <v>0</v>
      </c>
      <c r="J90" s="8">
        <v>0</v>
      </c>
      <c r="K90" s="4">
        <v>0</v>
      </c>
      <c r="L90" s="11">
        <f t="shared" si="5"/>
        <v>0</v>
      </c>
      <c r="M90" s="12">
        <v>1</v>
      </c>
      <c r="N90" s="12">
        <f t="shared" si="6"/>
        <v>0</v>
      </c>
      <c r="O90" s="5"/>
      <c r="P90" s="5"/>
    </row>
    <row r="91" spans="2:16" ht="13.8" x14ac:dyDescent="0.25">
      <c r="B91" s="1"/>
      <c r="C91" s="2"/>
      <c r="D91" s="2"/>
      <c r="E91" s="2"/>
      <c r="F91" s="69"/>
      <c r="G91" s="70"/>
      <c r="H91" s="2"/>
      <c r="I91" s="8">
        <v>0</v>
      </c>
      <c r="J91" s="8">
        <v>0</v>
      </c>
      <c r="K91" s="4">
        <v>0</v>
      </c>
      <c r="L91" s="11">
        <f t="shared" si="5"/>
        <v>0</v>
      </c>
      <c r="M91" s="12">
        <v>1</v>
      </c>
      <c r="N91" s="12">
        <f t="shared" si="6"/>
        <v>0</v>
      </c>
      <c r="O91" s="5"/>
      <c r="P91" s="5"/>
    </row>
    <row r="92" spans="2:16" ht="13.8" x14ac:dyDescent="0.25">
      <c r="B92" s="1"/>
      <c r="C92" s="2"/>
      <c r="D92" s="2"/>
      <c r="E92" s="2"/>
      <c r="F92" s="69"/>
      <c r="G92" s="70"/>
      <c r="H92" s="2"/>
      <c r="I92" s="8">
        <v>0</v>
      </c>
      <c r="J92" s="8">
        <v>0</v>
      </c>
      <c r="K92" s="4">
        <v>0</v>
      </c>
      <c r="L92" s="11">
        <f t="shared" si="5"/>
        <v>0</v>
      </c>
      <c r="M92" s="12">
        <v>1</v>
      </c>
      <c r="N92" s="12">
        <f t="shared" si="6"/>
        <v>0</v>
      </c>
      <c r="O92" s="5"/>
      <c r="P92" s="5"/>
    </row>
    <row r="93" spans="2:16" ht="13.8" x14ac:dyDescent="0.25">
      <c r="B93" s="1"/>
      <c r="C93" s="2"/>
      <c r="D93" s="2"/>
      <c r="E93" s="2"/>
      <c r="F93" s="69"/>
      <c r="G93" s="70"/>
      <c r="H93" s="2"/>
      <c r="I93" s="8">
        <v>0</v>
      </c>
      <c r="J93" s="8">
        <v>0</v>
      </c>
      <c r="K93" s="4">
        <v>0</v>
      </c>
      <c r="L93" s="11">
        <f t="shared" si="5"/>
        <v>0</v>
      </c>
      <c r="M93" s="12">
        <v>1</v>
      </c>
      <c r="N93" s="12">
        <f t="shared" si="6"/>
        <v>0</v>
      </c>
      <c r="O93" s="5"/>
      <c r="P93" s="5"/>
    </row>
    <row r="94" spans="2:16" ht="13.8" x14ac:dyDescent="0.25">
      <c r="B94" s="1"/>
      <c r="C94" s="2"/>
      <c r="D94" s="2"/>
      <c r="E94" s="2"/>
      <c r="F94" s="69"/>
      <c r="G94" s="70"/>
      <c r="H94" s="2"/>
      <c r="I94" s="8">
        <v>0</v>
      </c>
      <c r="J94" s="8">
        <v>0</v>
      </c>
      <c r="K94" s="4">
        <v>0</v>
      </c>
      <c r="L94" s="11">
        <f t="shared" si="5"/>
        <v>0</v>
      </c>
      <c r="M94" s="12">
        <v>1</v>
      </c>
      <c r="N94" s="12">
        <f t="shared" si="6"/>
        <v>0</v>
      </c>
      <c r="O94" s="5"/>
      <c r="P94" s="5"/>
    </row>
    <row r="95" spans="2:16" ht="13.8" x14ac:dyDescent="0.25">
      <c r="B95" s="1"/>
      <c r="C95" s="2"/>
      <c r="D95" s="2"/>
      <c r="E95" s="2"/>
      <c r="F95" s="69"/>
      <c r="G95" s="70"/>
      <c r="H95" s="2"/>
      <c r="I95" s="8">
        <v>0</v>
      </c>
      <c r="J95" s="8">
        <v>0</v>
      </c>
      <c r="K95" s="4">
        <v>0</v>
      </c>
      <c r="L95" s="11">
        <f t="shared" si="5"/>
        <v>0</v>
      </c>
      <c r="M95" s="12">
        <v>1</v>
      </c>
      <c r="N95" s="12">
        <f t="shared" si="6"/>
        <v>0</v>
      </c>
      <c r="O95" s="5"/>
      <c r="P95" s="5"/>
    </row>
    <row r="96" spans="2:16" ht="13.8" x14ac:dyDescent="0.25">
      <c r="B96" s="1"/>
      <c r="C96" s="2"/>
      <c r="D96" s="2"/>
      <c r="E96" s="2"/>
      <c r="F96" s="69"/>
      <c r="G96" s="70"/>
      <c r="H96" s="2"/>
      <c r="I96" s="8">
        <v>0</v>
      </c>
      <c r="J96" s="8">
        <v>0</v>
      </c>
      <c r="K96" s="4">
        <v>0</v>
      </c>
      <c r="L96" s="11">
        <f t="shared" si="5"/>
        <v>0</v>
      </c>
      <c r="M96" s="12">
        <v>1</v>
      </c>
      <c r="N96" s="12">
        <f t="shared" si="6"/>
        <v>0</v>
      </c>
      <c r="O96" s="5"/>
      <c r="P96" s="5"/>
    </row>
    <row r="97" spans="2:16" ht="13.8" x14ac:dyDescent="0.25">
      <c r="B97" s="1"/>
      <c r="C97" s="2"/>
      <c r="D97" s="2"/>
      <c r="E97" s="2"/>
      <c r="F97" s="69"/>
      <c r="G97" s="70"/>
      <c r="H97" s="2"/>
      <c r="I97" s="8">
        <v>0</v>
      </c>
      <c r="J97" s="8">
        <v>0</v>
      </c>
      <c r="K97" s="4">
        <v>0</v>
      </c>
      <c r="L97" s="11">
        <f t="shared" si="5"/>
        <v>0</v>
      </c>
      <c r="M97" s="12">
        <v>1</v>
      </c>
      <c r="N97" s="12">
        <f t="shared" si="6"/>
        <v>0</v>
      </c>
      <c r="O97" s="5"/>
      <c r="P97" s="5"/>
    </row>
    <row r="98" spans="2:16" ht="13.8" x14ac:dyDescent="0.25">
      <c r="B98" s="1"/>
      <c r="C98" s="2"/>
      <c r="D98" s="2"/>
      <c r="E98" s="2"/>
      <c r="F98" s="69"/>
      <c r="G98" s="70"/>
      <c r="H98" s="2"/>
      <c r="I98" s="8">
        <v>0</v>
      </c>
      <c r="J98" s="8">
        <v>0</v>
      </c>
      <c r="K98" s="4">
        <v>0</v>
      </c>
      <c r="L98" s="11">
        <f t="shared" si="5"/>
        <v>0</v>
      </c>
      <c r="M98" s="12">
        <v>1</v>
      </c>
      <c r="N98" s="12">
        <f t="shared" si="6"/>
        <v>0</v>
      </c>
      <c r="O98" s="5"/>
      <c r="P98" s="5"/>
    </row>
    <row r="99" spans="2:16" ht="13.8" x14ac:dyDescent="0.25">
      <c r="B99" s="1"/>
      <c r="C99" s="2"/>
      <c r="D99" s="2"/>
      <c r="E99" s="2"/>
      <c r="F99" s="69"/>
      <c r="G99" s="70"/>
      <c r="H99" s="2"/>
      <c r="I99" s="8">
        <v>0</v>
      </c>
      <c r="J99" s="8">
        <v>0</v>
      </c>
      <c r="K99" s="4">
        <v>0</v>
      </c>
      <c r="L99" s="11">
        <f t="shared" si="5"/>
        <v>0</v>
      </c>
      <c r="M99" s="12">
        <v>1</v>
      </c>
      <c r="N99" s="12">
        <f t="shared" si="6"/>
        <v>0</v>
      </c>
      <c r="O99" s="5"/>
      <c r="P99" s="5"/>
    </row>
    <row r="100" spans="2:16" ht="13.8" x14ac:dyDescent="0.25">
      <c r="B100" s="1"/>
      <c r="C100" s="2"/>
      <c r="D100" s="2"/>
      <c r="E100" s="2"/>
      <c r="F100" s="69"/>
      <c r="G100" s="70"/>
      <c r="H100" s="2"/>
      <c r="I100" s="8">
        <v>0</v>
      </c>
      <c r="J100" s="8">
        <v>0</v>
      </c>
      <c r="K100" s="4">
        <v>0</v>
      </c>
      <c r="L100" s="11">
        <f t="shared" si="5"/>
        <v>0</v>
      </c>
      <c r="M100" s="12">
        <v>1</v>
      </c>
      <c r="N100" s="12">
        <f t="shared" si="6"/>
        <v>0</v>
      </c>
      <c r="O100" s="5"/>
      <c r="P100" s="5"/>
    </row>
    <row r="101" spans="2:16" ht="13.8" x14ac:dyDescent="0.25">
      <c r="B101" s="1"/>
      <c r="C101" s="2"/>
      <c r="D101" s="2"/>
      <c r="E101" s="2"/>
      <c r="F101" s="69"/>
      <c r="G101" s="70"/>
      <c r="H101" s="2"/>
      <c r="I101" s="8">
        <v>0</v>
      </c>
      <c r="J101" s="8">
        <v>0</v>
      </c>
      <c r="K101" s="4">
        <v>0</v>
      </c>
      <c r="L101" s="11">
        <f t="shared" si="5"/>
        <v>0</v>
      </c>
      <c r="M101" s="12">
        <v>1</v>
      </c>
      <c r="N101" s="12">
        <f t="shared" si="6"/>
        <v>0</v>
      </c>
      <c r="O101" s="5"/>
      <c r="P101" s="5"/>
    </row>
    <row r="102" spans="2:16" ht="13.8" x14ac:dyDescent="0.25">
      <c r="B102" s="1"/>
      <c r="C102" s="2"/>
      <c r="D102" s="2"/>
      <c r="E102" s="2"/>
      <c r="F102" s="69"/>
      <c r="G102" s="70"/>
      <c r="H102" s="2"/>
      <c r="I102" s="8">
        <v>0</v>
      </c>
      <c r="J102" s="8">
        <v>0</v>
      </c>
      <c r="K102" s="4">
        <v>0</v>
      </c>
      <c r="L102" s="11">
        <f t="shared" si="5"/>
        <v>0</v>
      </c>
      <c r="M102" s="12">
        <v>1</v>
      </c>
      <c r="N102" s="12">
        <f t="shared" si="6"/>
        <v>0</v>
      </c>
      <c r="O102" s="5"/>
      <c r="P102" s="5"/>
    </row>
    <row r="103" spans="2:16" ht="13.8" x14ac:dyDescent="0.25">
      <c r="B103" s="1"/>
      <c r="C103" s="2"/>
      <c r="D103" s="2"/>
      <c r="E103" s="2"/>
      <c r="F103" s="69"/>
      <c r="G103" s="70"/>
      <c r="H103" s="2"/>
      <c r="I103" s="8">
        <v>0</v>
      </c>
      <c r="J103" s="8">
        <v>0</v>
      </c>
      <c r="K103" s="4">
        <v>0</v>
      </c>
      <c r="L103" s="11">
        <f t="shared" si="5"/>
        <v>0</v>
      </c>
      <c r="M103" s="12">
        <v>1</v>
      </c>
      <c r="N103" s="12">
        <f t="shared" si="6"/>
        <v>0</v>
      </c>
      <c r="O103" s="5"/>
      <c r="P103" s="5"/>
    </row>
    <row r="104" spans="2:16" ht="13.8" x14ac:dyDescent="0.25">
      <c r="B104" s="1"/>
      <c r="C104" s="2"/>
      <c r="D104" s="2"/>
      <c r="E104" s="2"/>
      <c r="F104" s="69"/>
      <c r="G104" s="70"/>
      <c r="H104" s="2"/>
      <c r="I104" s="8">
        <v>0</v>
      </c>
      <c r="J104" s="8">
        <v>0</v>
      </c>
      <c r="K104" s="4">
        <v>0</v>
      </c>
      <c r="L104" s="11">
        <f t="shared" si="5"/>
        <v>0</v>
      </c>
      <c r="M104" s="12">
        <v>1</v>
      </c>
      <c r="N104" s="12">
        <f t="shared" si="6"/>
        <v>0</v>
      </c>
      <c r="O104" s="5"/>
      <c r="P104" s="5"/>
    </row>
    <row r="105" spans="2:16" ht="13.8" x14ac:dyDescent="0.25">
      <c r="B105" s="1"/>
      <c r="C105" s="2"/>
      <c r="D105" s="2"/>
      <c r="E105" s="2"/>
      <c r="F105" s="69"/>
      <c r="G105" s="70"/>
      <c r="H105" s="2"/>
      <c r="I105" s="8">
        <v>0</v>
      </c>
      <c r="J105" s="8">
        <v>0</v>
      </c>
      <c r="K105" s="4">
        <v>0</v>
      </c>
      <c r="L105" s="11">
        <f t="shared" si="5"/>
        <v>0</v>
      </c>
      <c r="M105" s="12">
        <v>1</v>
      </c>
      <c r="N105" s="12">
        <f t="shared" si="6"/>
        <v>0</v>
      </c>
      <c r="O105" s="5"/>
      <c r="P105" s="5"/>
    </row>
    <row r="106" spans="2:16" ht="13.8" x14ac:dyDescent="0.25">
      <c r="B106" s="1"/>
      <c r="C106" s="2"/>
      <c r="D106" s="2"/>
      <c r="E106" s="2"/>
      <c r="F106" s="69"/>
      <c r="G106" s="70"/>
      <c r="H106" s="2"/>
      <c r="I106" s="8">
        <v>0</v>
      </c>
      <c r="J106" s="8">
        <v>0</v>
      </c>
      <c r="K106" s="4">
        <v>0</v>
      </c>
      <c r="L106" s="11">
        <f t="shared" si="5"/>
        <v>0</v>
      </c>
      <c r="M106" s="12">
        <v>1</v>
      </c>
      <c r="N106" s="12">
        <f t="shared" si="6"/>
        <v>0</v>
      </c>
      <c r="O106" s="5"/>
      <c r="P106" s="5"/>
    </row>
    <row r="107" spans="2:16" ht="13.8" x14ac:dyDescent="0.25">
      <c r="B107" s="1"/>
      <c r="C107" s="2"/>
      <c r="D107" s="2"/>
      <c r="E107" s="2"/>
      <c r="F107" s="69"/>
      <c r="G107" s="70"/>
      <c r="H107" s="2"/>
      <c r="I107" s="8">
        <v>0</v>
      </c>
      <c r="J107" s="8">
        <v>0</v>
      </c>
      <c r="K107" s="4">
        <v>0</v>
      </c>
      <c r="L107" s="11">
        <f t="shared" si="5"/>
        <v>0</v>
      </c>
      <c r="M107" s="12">
        <v>1</v>
      </c>
      <c r="N107" s="12">
        <f t="shared" si="6"/>
        <v>0</v>
      </c>
      <c r="O107" s="5"/>
      <c r="P107" s="5"/>
    </row>
    <row r="108" spans="2:16" ht="13.8" x14ac:dyDescent="0.25">
      <c r="B108" s="1"/>
      <c r="C108" s="2"/>
      <c r="D108" s="2"/>
      <c r="E108" s="2"/>
      <c r="F108" s="69"/>
      <c r="G108" s="70"/>
      <c r="H108" s="2"/>
      <c r="I108" s="8">
        <v>0</v>
      </c>
      <c r="J108" s="8">
        <v>0</v>
      </c>
      <c r="K108" s="4">
        <v>0</v>
      </c>
      <c r="L108" s="11">
        <f t="shared" si="5"/>
        <v>0</v>
      </c>
      <c r="M108" s="12">
        <v>1</v>
      </c>
      <c r="N108" s="12">
        <f t="shared" si="6"/>
        <v>0</v>
      </c>
      <c r="O108" s="5"/>
      <c r="P108" s="5"/>
    </row>
    <row r="109" spans="2:16" ht="13.8" x14ac:dyDescent="0.25">
      <c r="B109" s="1"/>
      <c r="C109" s="2"/>
      <c r="D109" s="2"/>
      <c r="E109" s="2"/>
      <c r="F109" s="69"/>
      <c r="G109" s="70"/>
      <c r="H109" s="2"/>
      <c r="I109" s="8">
        <v>0</v>
      </c>
      <c r="J109" s="8">
        <v>0</v>
      </c>
      <c r="K109" s="4">
        <v>0</v>
      </c>
      <c r="L109" s="11">
        <f t="shared" si="5"/>
        <v>0</v>
      </c>
      <c r="M109" s="12">
        <v>1</v>
      </c>
      <c r="N109" s="12">
        <f t="shared" si="6"/>
        <v>0</v>
      </c>
      <c r="O109" s="5"/>
      <c r="P109" s="5"/>
    </row>
    <row r="110" spans="2:16" ht="13.8" x14ac:dyDescent="0.25">
      <c r="B110" s="1"/>
      <c r="C110" s="2"/>
      <c r="D110" s="2"/>
      <c r="E110" s="2"/>
      <c r="F110" s="69"/>
      <c r="G110" s="70"/>
      <c r="H110" s="2"/>
      <c r="I110" s="8">
        <v>0</v>
      </c>
      <c r="J110" s="8">
        <v>0</v>
      </c>
      <c r="K110" s="4">
        <v>0</v>
      </c>
      <c r="L110" s="11">
        <f t="shared" si="5"/>
        <v>0</v>
      </c>
      <c r="M110" s="12">
        <v>1</v>
      </c>
      <c r="N110" s="12">
        <f t="shared" si="6"/>
        <v>0</v>
      </c>
      <c r="O110" s="5"/>
      <c r="P110" s="5"/>
    </row>
    <row r="111" spans="2:16" ht="13.8" x14ac:dyDescent="0.25">
      <c r="B111" s="1"/>
      <c r="C111" s="2"/>
      <c r="D111" s="2"/>
      <c r="E111" s="2"/>
      <c r="F111" s="69"/>
      <c r="G111" s="70"/>
      <c r="H111" s="2"/>
      <c r="I111" s="8">
        <v>0</v>
      </c>
      <c r="J111" s="8">
        <v>0</v>
      </c>
      <c r="K111" s="4">
        <v>0</v>
      </c>
      <c r="L111" s="11">
        <f t="shared" si="5"/>
        <v>0</v>
      </c>
      <c r="M111" s="12">
        <v>1</v>
      </c>
      <c r="N111" s="12">
        <f t="shared" si="6"/>
        <v>0</v>
      </c>
      <c r="O111" s="5"/>
      <c r="P111" s="5"/>
    </row>
    <row r="112" spans="2:16" ht="13.8" x14ac:dyDescent="0.25">
      <c r="B112" s="1"/>
      <c r="C112" s="2"/>
      <c r="D112" s="2"/>
      <c r="E112" s="2"/>
      <c r="F112" s="69"/>
      <c r="G112" s="70"/>
      <c r="H112" s="2"/>
      <c r="I112" s="8">
        <v>0</v>
      </c>
      <c r="J112" s="8">
        <v>0</v>
      </c>
      <c r="K112" s="4">
        <v>0</v>
      </c>
      <c r="L112" s="11">
        <f t="shared" si="5"/>
        <v>0</v>
      </c>
      <c r="M112" s="12">
        <v>1</v>
      </c>
      <c r="N112" s="12">
        <f t="shared" si="6"/>
        <v>0</v>
      </c>
      <c r="O112" s="5"/>
      <c r="P112" s="5"/>
    </row>
    <row r="113" spans="2:16" ht="13.8" x14ac:dyDescent="0.25">
      <c r="B113" s="1"/>
      <c r="C113" s="2"/>
      <c r="D113" s="2"/>
      <c r="E113" s="2"/>
      <c r="F113" s="69"/>
      <c r="G113" s="70"/>
      <c r="H113" s="2"/>
      <c r="I113" s="8">
        <v>0</v>
      </c>
      <c r="J113" s="8">
        <v>0</v>
      </c>
      <c r="K113" s="4">
        <v>0</v>
      </c>
      <c r="L113" s="11">
        <f t="shared" si="5"/>
        <v>0</v>
      </c>
      <c r="M113" s="12">
        <v>1</v>
      </c>
      <c r="N113" s="12">
        <f t="shared" si="6"/>
        <v>0</v>
      </c>
      <c r="O113" s="5"/>
      <c r="P113" s="5"/>
    </row>
    <row r="114" spans="2:16" ht="13.8" x14ac:dyDescent="0.25">
      <c r="B114" s="1"/>
      <c r="C114" s="2"/>
      <c r="D114" s="2"/>
      <c r="E114" s="2"/>
      <c r="F114" s="69"/>
      <c r="G114" s="70"/>
      <c r="H114" s="2"/>
      <c r="I114" s="8">
        <v>0</v>
      </c>
      <c r="J114" s="8">
        <v>0</v>
      </c>
      <c r="K114" s="4">
        <v>0</v>
      </c>
      <c r="L114" s="11">
        <f t="shared" si="5"/>
        <v>0</v>
      </c>
      <c r="M114" s="12">
        <v>1</v>
      </c>
      <c r="N114" s="12">
        <f t="shared" si="6"/>
        <v>0</v>
      </c>
      <c r="O114" s="5"/>
      <c r="P114" s="5"/>
    </row>
    <row r="115" spans="2:16" ht="13.8" x14ac:dyDescent="0.25">
      <c r="B115" s="1"/>
      <c r="C115" s="2"/>
      <c r="D115" s="2"/>
      <c r="E115" s="2"/>
      <c r="F115" s="69"/>
      <c r="G115" s="70"/>
      <c r="H115" s="2"/>
      <c r="I115" s="8">
        <v>0</v>
      </c>
      <c r="J115" s="8">
        <v>0</v>
      </c>
      <c r="K115" s="4">
        <v>0</v>
      </c>
      <c r="L115" s="11">
        <f t="shared" si="5"/>
        <v>0</v>
      </c>
      <c r="M115" s="12">
        <v>1</v>
      </c>
      <c r="N115" s="12">
        <f t="shared" si="6"/>
        <v>0</v>
      </c>
      <c r="O115" s="5"/>
      <c r="P115" s="5"/>
    </row>
    <row r="116" spans="2:16" ht="13.8" x14ac:dyDescent="0.25">
      <c r="B116" s="1"/>
      <c r="C116" s="2"/>
      <c r="D116" s="2"/>
      <c r="E116" s="2"/>
      <c r="F116" s="69"/>
      <c r="G116" s="70"/>
      <c r="H116" s="2"/>
      <c r="I116" s="8">
        <v>0</v>
      </c>
      <c r="J116" s="8">
        <v>0</v>
      </c>
      <c r="K116" s="4">
        <v>0</v>
      </c>
      <c r="L116" s="11">
        <f t="shared" si="5"/>
        <v>0</v>
      </c>
      <c r="M116" s="12">
        <v>1</v>
      </c>
      <c r="N116" s="12">
        <f t="shared" si="6"/>
        <v>0</v>
      </c>
      <c r="O116" s="5"/>
      <c r="P116" s="5"/>
    </row>
    <row r="117" spans="2:16" ht="13.8" x14ac:dyDescent="0.25">
      <c r="B117" s="1"/>
      <c r="C117" s="2"/>
      <c r="D117" s="2"/>
      <c r="E117" s="2"/>
      <c r="F117" s="69"/>
      <c r="G117" s="70"/>
      <c r="H117" s="2"/>
      <c r="I117" s="8">
        <v>0</v>
      </c>
      <c r="J117" s="8">
        <v>0</v>
      </c>
      <c r="K117" s="4">
        <v>0</v>
      </c>
      <c r="L117" s="11">
        <f t="shared" si="5"/>
        <v>0</v>
      </c>
      <c r="M117" s="12">
        <v>1</v>
      </c>
      <c r="N117" s="12">
        <f t="shared" si="6"/>
        <v>0</v>
      </c>
      <c r="O117" s="5"/>
      <c r="P117" s="5"/>
    </row>
    <row r="118" spans="2:16" ht="13.8" x14ac:dyDescent="0.25">
      <c r="B118" s="1"/>
      <c r="C118" s="2"/>
      <c r="D118" s="2"/>
      <c r="E118" s="2"/>
      <c r="F118" s="69"/>
      <c r="G118" s="70"/>
      <c r="H118" s="2"/>
      <c r="I118" s="8">
        <v>0</v>
      </c>
      <c r="J118" s="8">
        <v>0</v>
      </c>
      <c r="K118" s="4">
        <v>0</v>
      </c>
      <c r="L118" s="11">
        <f t="shared" si="5"/>
        <v>0</v>
      </c>
      <c r="M118" s="12">
        <v>1</v>
      </c>
      <c r="N118" s="12">
        <f t="shared" si="6"/>
        <v>0</v>
      </c>
      <c r="O118" s="5"/>
      <c r="P118" s="5"/>
    </row>
    <row r="119" spans="2:16" ht="13.8" x14ac:dyDescent="0.25">
      <c r="B119" s="1"/>
      <c r="C119" s="2"/>
      <c r="D119" s="2"/>
      <c r="E119" s="2"/>
      <c r="F119" s="69"/>
      <c r="G119" s="70"/>
      <c r="H119" s="2"/>
      <c r="I119" s="8">
        <v>0</v>
      </c>
      <c r="J119" s="8">
        <v>0</v>
      </c>
      <c r="K119" s="4">
        <v>0</v>
      </c>
      <c r="L119" s="11">
        <f t="shared" si="5"/>
        <v>0</v>
      </c>
      <c r="M119" s="12">
        <v>1</v>
      </c>
      <c r="N119" s="12">
        <f t="shared" si="6"/>
        <v>0</v>
      </c>
      <c r="O119" s="5"/>
      <c r="P119" s="5"/>
    </row>
  </sheetData>
  <mergeCells count="140">
    <mergeCell ref="H5:H6"/>
    <mergeCell ref="I5:K5"/>
    <mergeCell ref="L5:N5"/>
    <mergeCell ref="F16:G16"/>
    <mergeCell ref="F9:G9"/>
    <mergeCell ref="F11:G11"/>
    <mergeCell ref="F13:G13"/>
    <mergeCell ref="F14:G14"/>
    <mergeCell ref="F15:G15"/>
    <mergeCell ref="F10:G10"/>
    <mergeCell ref="F12:G12"/>
    <mergeCell ref="B12:B14"/>
    <mergeCell ref="F17:G17"/>
    <mergeCell ref="F18:G18"/>
    <mergeCell ref="F19:G19"/>
    <mergeCell ref="F20:G20"/>
    <mergeCell ref="B1:C2"/>
    <mergeCell ref="D1:N2"/>
    <mergeCell ref="O1:P1"/>
    <mergeCell ref="O2:P2"/>
    <mergeCell ref="B3:H3"/>
    <mergeCell ref="I3:N3"/>
    <mergeCell ref="O3:P3"/>
    <mergeCell ref="B7:B11"/>
    <mergeCell ref="O5:O6"/>
    <mergeCell ref="P5:P6"/>
    <mergeCell ref="F7:G7"/>
    <mergeCell ref="F8:G8"/>
    <mergeCell ref="B4:N4"/>
    <mergeCell ref="O4:P4"/>
    <mergeCell ref="B5:B6"/>
    <mergeCell ref="C5:C6"/>
    <mergeCell ref="D5:D6"/>
    <mergeCell ref="E5:E6"/>
    <mergeCell ref="F5:G6"/>
    <mergeCell ref="F26:G26"/>
    <mergeCell ref="F27:G27"/>
    <mergeCell ref="F28:G28"/>
    <mergeCell ref="F29:G29"/>
    <mergeCell ref="F30:G30"/>
    <mergeCell ref="F21:G21"/>
    <mergeCell ref="F22:G22"/>
    <mergeCell ref="F23:G23"/>
    <mergeCell ref="F24:G24"/>
    <mergeCell ref="F25:G25"/>
    <mergeCell ref="F36:G36"/>
    <mergeCell ref="F37:G37"/>
    <mergeCell ref="F38:G38"/>
    <mergeCell ref="F39:G39"/>
    <mergeCell ref="F40:G40"/>
    <mergeCell ref="F31:G31"/>
    <mergeCell ref="F32:G32"/>
    <mergeCell ref="F33:G33"/>
    <mergeCell ref="F34:G34"/>
    <mergeCell ref="F35:G35"/>
    <mergeCell ref="F46:G46"/>
    <mergeCell ref="F47:G47"/>
    <mergeCell ref="F48:G48"/>
    <mergeCell ref="F49:G49"/>
    <mergeCell ref="F50:G50"/>
    <mergeCell ref="F41:G41"/>
    <mergeCell ref="F42:G42"/>
    <mergeCell ref="F43:G43"/>
    <mergeCell ref="F44:G44"/>
    <mergeCell ref="F45:G45"/>
    <mergeCell ref="F56:G56"/>
    <mergeCell ref="F57:G57"/>
    <mergeCell ref="F58:G58"/>
    <mergeCell ref="F59:G59"/>
    <mergeCell ref="F60:G60"/>
    <mergeCell ref="F51:G51"/>
    <mergeCell ref="F52:G52"/>
    <mergeCell ref="F53:G53"/>
    <mergeCell ref="F54:G54"/>
    <mergeCell ref="F55:G55"/>
    <mergeCell ref="F66:G66"/>
    <mergeCell ref="F67:G67"/>
    <mergeCell ref="F68:G68"/>
    <mergeCell ref="F69:G69"/>
    <mergeCell ref="F70:G70"/>
    <mergeCell ref="F61:G61"/>
    <mergeCell ref="F62:G62"/>
    <mergeCell ref="F63:G63"/>
    <mergeCell ref="F64:G64"/>
    <mergeCell ref="F65:G65"/>
    <mergeCell ref="F76:G76"/>
    <mergeCell ref="F77:G77"/>
    <mergeCell ref="F78:G78"/>
    <mergeCell ref="F79:G79"/>
    <mergeCell ref="F80:G80"/>
    <mergeCell ref="F71:G71"/>
    <mergeCell ref="F72:G72"/>
    <mergeCell ref="F73:G73"/>
    <mergeCell ref="F74:G74"/>
    <mergeCell ref="F75:G75"/>
    <mergeCell ref="F86:G86"/>
    <mergeCell ref="F87:G87"/>
    <mergeCell ref="F88:G88"/>
    <mergeCell ref="F89:G89"/>
    <mergeCell ref="F90:G90"/>
    <mergeCell ref="F81:G81"/>
    <mergeCell ref="F82:G82"/>
    <mergeCell ref="F83:G83"/>
    <mergeCell ref="F84:G84"/>
    <mergeCell ref="F85:G85"/>
    <mergeCell ref="F105:G105"/>
    <mergeCell ref="F96:G96"/>
    <mergeCell ref="F97:G97"/>
    <mergeCell ref="F98:G98"/>
    <mergeCell ref="F99:G99"/>
    <mergeCell ref="F100:G100"/>
    <mergeCell ref="F91:G91"/>
    <mergeCell ref="F92:G92"/>
    <mergeCell ref="F93:G93"/>
    <mergeCell ref="F94:G94"/>
    <mergeCell ref="F95:G95"/>
    <mergeCell ref="B29:B32"/>
    <mergeCell ref="B33:B37"/>
    <mergeCell ref="F116:G116"/>
    <mergeCell ref="F117:G117"/>
    <mergeCell ref="F118:G118"/>
    <mergeCell ref="F119:G119"/>
    <mergeCell ref="B15:B19"/>
    <mergeCell ref="C16:C19"/>
    <mergeCell ref="B20:B24"/>
    <mergeCell ref="B25:B28"/>
    <mergeCell ref="F111:G111"/>
    <mergeCell ref="F112:G112"/>
    <mergeCell ref="F113:G113"/>
    <mergeCell ref="F114:G114"/>
    <mergeCell ref="F115:G115"/>
    <mergeCell ref="F106:G106"/>
    <mergeCell ref="F107:G107"/>
    <mergeCell ref="F108:G108"/>
    <mergeCell ref="F109:G109"/>
    <mergeCell ref="F110:G110"/>
    <mergeCell ref="F101:G101"/>
    <mergeCell ref="F102:G102"/>
    <mergeCell ref="F103:G103"/>
    <mergeCell ref="F104:G104"/>
  </mergeCells>
  <phoneticPr fontId="12" type="noConversion"/>
  <pageMargins left="0.19685039370078741" right="0" top="0.19685039370078741" bottom="0" header="0" footer="0"/>
  <pageSetup paperSize="9" scale="61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A242C-0233-40BC-9D31-522884E9CA6A}">
  <sheetPr>
    <pageSetUpPr fitToPage="1"/>
  </sheetPr>
  <dimension ref="B1:P50"/>
  <sheetViews>
    <sheetView topLeftCell="A8" zoomScale="120" zoomScaleNormal="120" workbookViewId="0">
      <selection activeCell="F19" sqref="F19:G19"/>
    </sheetView>
  </sheetViews>
  <sheetFormatPr baseColWidth="10" defaultColWidth="8.88671875" defaultRowHeight="13.2" x14ac:dyDescent="0.25"/>
  <cols>
    <col min="1" max="1" width="2.109375" customWidth="1"/>
    <col min="2" max="2" width="11.77734375" customWidth="1"/>
    <col min="3" max="3" width="17.5546875" customWidth="1"/>
    <col min="4" max="4" width="17.6640625" customWidth="1"/>
    <col min="5" max="5" width="15.21875" customWidth="1"/>
    <col min="6" max="6" width="14.6640625" customWidth="1"/>
    <col min="7" max="7" width="16" customWidth="1"/>
    <col min="8" max="8" width="28.44140625" customWidth="1"/>
    <col min="9" max="10" width="17.109375" customWidth="1"/>
    <col min="11" max="11" width="17.33203125" customWidth="1"/>
    <col min="12" max="12" width="16.33203125" customWidth="1"/>
    <col min="13" max="13" width="13.77734375" customWidth="1"/>
    <col min="14" max="14" width="14.77734375" customWidth="1"/>
    <col min="15" max="15" width="22.44140625" customWidth="1"/>
    <col min="16" max="16" width="17.33203125" customWidth="1"/>
  </cols>
  <sheetData>
    <row r="1" spans="2:16" ht="18" customHeight="1" x14ac:dyDescent="0.25">
      <c r="B1" s="80"/>
      <c r="C1" s="80"/>
      <c r="D1" s="82" t="s">
        <v>18</v>
      </c>
      <c r="E1" s="82"/>
      <c r="F1" s="82"/>
      <c r="G1" s="82"/>
      <c r="H1" s="82"/>
      <c r="I1" s="82"/>
      <c r="J1" s="82"/>
      <c r="K1" s="82"/>
      <c r="L1" s="82"/>
      <c r="M1" s="82"/>
      <c r="N1" s="82"/>
      <c r="O1" s="75" t="s">
        <v>21</v>
      </c>
      <c r="P1" s="76"/>
    </row>
    <row r="2" spans="2:16" ht="19.2" customHeight="1" x14ac:dyDescent="0.25">
      <c r="B2" s="81"/>
      <c r="C2" s="81"/>
      <c r="D2" s="83"/>
      <c r="E2" s="83"/>
      <c r="F2" s="83"/>
      <c r="G2" s="83"/>
      <c r="H2" s="83"/>
      <c r="I2" s="84"/>
      <c r="J2" s="84"/>
      <c r="K2" s="84"/>
      <c r="L2" s="84"/>
      <c r="M2" s="84"/>
      <c r="N2" s="84"/>
      <c r="O2" s="76" t="s">
        <v>0</v>
      </c>
      <c r="P2" s="76"/>
    </row>
    <row r="3" spans="2:16" ht="12.6" customHeight="1" x14ac:dyDescent="0.25">
      <c r="B3" s="79" t="s">
        <v>9</v>
      </c>
      <c r="C3" s="79"/>
      <c r="D3" s="79"/>
      <c r="E3" s="79"/>
      <c r="F3" s="79"/>
      <c r="G3" s="79"/>
      <c r="H3" s="79"/>
      <c r="I3" s="77" t="s">
        <v>10</v>
      </c>
      <c r="J3" s="78"/>
      <c r="K3" s="78"/>
      <c r="L3" s="78"/>
      <c r="M3" s="78"/>
      <c r="N3" s="78"/>
      <c r="O3" s="75" t="s">
        <v>19</v>
      </c>
      <c r="P3" s="76"/>
    </row>
    <row r="4" spans="2:16" ht="10.199999999999999" customHeight="1" x14ac:dyDescent="0.25">
      <c r="B4" s="86" t="s">
        <v>17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75" t="s">
        <v>20</v>
      </c>
      <c r="P4" s="76"/>
    </row>
    <row r="5" spans="2:16" ht="15.45" customHeight="1" x14ac:dyDescent="0.25">
      <c r="B5" s="91" t="s">
        <v>1</v>
      </c>
      <c r="C5" s="91" t="s">
        <v>3</v>
      </c>
      <c r="D5" s="91" t="s">
        <v>4</v>
      </c>
      <c r="E5" s="91" t="s">
        <v>2</v>
      </c>
      <c r="F5" s="100" t="s">
        <v>15</v>
      </c>
      <c r="G5" s="101"/>
      <c r="H5" s="91" t="s">
        <v>22</v>
      </c>
      <c r="I5" s="93" t="s">
        <v>16</v>
      </c>
      <c r="J5" s="94"/>
      <c r="K5" s="95"/>
      <c r="L5" s="96" t="s">
        <v>6</v>
      </c>
      <c r="M5" s="97"/>
      <c r="N5" s="98"/>
      <c r="O5" s="99" t="s">
        <v>5</v>
      </c>
      <c r="P5" s="99" t="s">
        <v>14</v>
      </c>
    </row>
    <row r="6" spans="2:16" ht="25.8" customHeight="1" thickBot="1" x14ac:dyDescent="0.3">
      <c r="B6" s="92"/>
      <c r="C6" s="92"/>
      <c r="D6" s="92"/>
      <c r="E6" s="92"/>
      <c r="F6" s="102"/>
      <c r="G6" s="103"/>
      <c r="H6" s="92"/>
      <c r="I6" s="6" t="s">
        <v>7</v>
      </c>
      <c r="J6" s="6" t="s">
        <v>8</v>
      </c>
      <c r="K6" s="6" t="s">
        <v>11</v>
      </c>
      <c r="L6" s="7" t="s">
        <v>13</v>
      </c>
      <c r="M6" s="7" t="s">
        <v>23</v>
      </c>
      <c r="N6" s="7" t="s">
        <v>12</v>
      </c>
      <c r="O6" s="99"/>
      <c r="P6" s="99"/>
    </row>
    <row r="7" spans="2:16" ht="30" customHeight="1" x14ac:dyDescent="0.25">
      <c r="B7" s="66">
        <v>46098</v>
      </c>
      <c r="C7" s="28" t="s">
        <v>24</v>
      </c>
      <c r="D7" s="28" t="s">
        <v>33</v>
      </c>
      <c r="E7" s="28" t="s">
        <v>49</v>
      </c>
      <c r="F7" s="117" t="s">
        <v>117</v>
      </c>
      <c r="G7" s="117"/>
      <c r="H7" s="28">
        <v>1</v>
      </c>
      <c r="I7" s="30">
        <v>0.29166666666666669</v>
      </c>
      <c r="J7" s="30">
        <v>0.375</v>
      </c>
      <c r="K7" s="29">
        <v>0</v>
      </c>
      <c r="L7" s="31">
        <f>((J7-I7+(J7&lt;I7))*1440)-K7</f>
        <v>119.99999999999997</v>
      </c>
      <c r="M7" s="32">
        <v>1</v>
      </c>
      <c r="N7" s="32">
        <f>L7/M7</f>
        <v>119.99999999999997</v>
      </c>
      <c r="O7" s="33"/>
      <c r="P7" s="34"/>
    </row>
    <row r="8" spans="2:16" ht="30" customHeight="1" x14ac:dyDescent="0.25">
      <c r="B8" s="67"/>
      <c r="C8" s="2" t="s">
        <v>120</v>
      </c>
      <c r="D8" s="2" t="s">
        <v>119</v>
      </c>
      <c r="E8" s="2" t="s">
        <v>118</v>
      </c>
      <c r="F8" s="85" t="s">
        <v>121</v>
      </c>
      <c r="G8" s="85"/>
      <c r="H8" s="2">
        <v>1</v>
      </c>
      <c r="I8" s="8">
        <v>0.375</v>
      </c>
      <c r="J8" s="8">
        <v>0.63888888888888895</v>
      </c>
      <c r="K8" s="4">
        <v>7</v>
      </c>
      <c r="L8" s="11">
        <f t="shared" ref="L8:L15" si="0">((J8-I8+(J8&lt;I8))*1440)-K8</f>
        <v>373.00000000000011</v>
      </c>
      <c r="M8" s="12">
        <v>1</v>
      </c>
      <c r="N8" s="12">
        <f t="shared" ref="N8:N15" si="1">L8/M8</f>
        <v>373.00000000000011</v>
      </c>
      <c r="O8" s="5"/>
      <c r="P8" s="35"/>
    </row>
    <row r="9" spans="2:16" ht="30" customHeight="1" thickBot="1" x14ac:dyDescent="0.3">
      <c r="B9" s="68"/>
      <c r="C9" s="36" t="s">
        <v>24</v>
      </c>
      <c r="D9" s="36" t="s">
        <v>33</v>
      </c>
      <c r="E9" s="36" t="s">
        <v>49</v>
      </c>
      <c r="F9" s="118" t="s">
        <v>117</v>
      </c>
      <c r="G9" s="118"/>
      <c r="H9" s="36">
        <v>1</v>
      </c>
      <c r="I9" s="38">
        <v>0.63888888888888895</v>
      </c>
      <c r="J9" s="38">
        <v>0.66666666666666663</v>
      </c>
      <c r="K9" s="37">
        <v>0</v>
      </c>
      <c r="L9" s="39">
        <f t="shared" si="0"/>
        <v>39.999999999999858</v>
      </c>
      <c r="M9" s="40">
        <v>1</v>
      </c>
      <c r="N9" s="40">
        <f t="shared" si="1"/>
        <v>39.999999999999858</v>
      </c>
      <c r="O9" s="41"/>
      <c r="P9" s="42"/>
    </row>
    <row r="10" spans="2:16" ht="30" customHeight="1" x14ac:dyDescent="0.25">
      <c r="B10" s="66">
        <v>46099</v>
      </c>
      <c r="C10" s="28" t="s">
        <v>24</v>
      </c>
      <c r="D10" s="28" t="s">
        <v>33</v>
      </c>
      <c r="E10" s="28" t="s">
        <v>49</v>
      </c>
      <c r="F10" s="117" t="s">
        <v>122</v>
      </c>
      <c r="G10" s="117"/>
      <c r="H10" s="28">
        <v>1</v>
      </c>
      <c r="I10" s="30">
        <v>0.29166666666666669</v>
      </c>
      <c r="J10" s="30">
        <v>0.4375</v>
      </c>
      <c r="K10" s="29">
        <v>8</v>
      </c>
      <c r="L10" s="31">
        <f t="shared" si="0"/>
        <v>201.99999999999997</v>
      </c>
      <c r="M10" s="32">
        <v>1</v>
      </c>
      <c r="N10" s="32">
        <f t="shared" si="1"/>
        <v>201.99999999999997</v>
      </c>
      <c r="O10" s="33"/>
      <c r="P10" s="34"/>
    </row>
    <row r="11" spans="2:16" ht="30" customHeight="1" x14ac:dyDescent="0.25">
      <c r="B11" s="67"/>
      <c r="C11" s="2" t="s">
        <v>46</v>
      </c>
      <c r="D11" s="2" t="s">
        <v>46</v>
      </c>
      <c r="E11" s="2"/>
      <c r="F11" s="85" t="s">
        <v>46</v>
      </c>
      <c r="G11" s="85"/>
      <c r="H11" s="2">
        <v>1</v>
      </c>
      <c r="I11" s="8">
        <v>0.4375</v>
      </c>
      <c r="J11" s="8">
        <v>0.56944444444444442</v>
      </c>
      <c r="K11" s="4">
        <v>40</v>
      </c>
      <c r="L11" s="11">
        <f t="shared" si="0"/>
        <v>149.99999999999997</v>
      </c>
      <c r="M11" s="12">
        <v>1</v>
      </c>
      <c r="N11" s="12">
        <f t="shared" si="1"/>
        <v>149.99999999999997</v>
      </c>
      <c r="O11" s="5"/>
      <c r="P11" s="35"/>
    </row>
    <row r="12" spans="2:16" ht="30" customHeight="1" thickBot="1" x14ac:dyDescent="0.3">
      <c r="B12" s="68"/>
      <c r="C12" s="36" t="s">
        <v>120</v>
      </c>
      <c r="D12" s="36" t="s">
        <v>119</v>
      </c>
      <c r="E12" s="36"/>
      <c r="F12" s="118" t="s">
        <v>123</v>
      </c>
      <c r="G12" s="118"/>
      <c r="H12" s="36">
        <v>1</v>
      </c>
      <c r="I12" s="38">
        <v>0.56944444444444442</v>
      </c>
      <c r="J12" s="38">
        <v>0.66666666666666663</v>
      </c>
      <c r="K12" s="37">
        <v>0</v>
      </c>
      <c r="L12" s="39">
        <f t="shared" si="0"/>
        <v>139.99999999999997</v>
      </c>
      <c r="M12" s="40">
        <v>1</v>
      </c>
      <c r="N12" s="40">
        <f t="shared" si="1"/>
        <v>139.99999999999997</v>
      </c>
      <c r="O12" s="41"/>
      <c r="P12" s="42"/>
    </row>
    <row r="13" spans="2:16" ht="30" customHeight="1" x14ac:dyDescent="0.25">
      <c r="B13" s="66">
        <v>46100</v>
      </c>
      <c r="C13" s="28" t="s">
        <v>120</v>
      </c>
      <c r="D13" s="28" t="s">
        <v>119</v>
      </c>
      <c r="E13" s="28" t="s">
        <v>49</v>
      </c>
      <c r="F13" s="71" t="s">
        <v>123</v>
      </c>
      <c r="G13" s="72"/>
      <c r="H13" s="28">
        <v>1</v>
      </c>
      <c r="I13" s="30">
        <v>0.29166666666666669</v>
      </c>
      <c r="J13" s="30">
        <v>0.5</v>
      </c>
      <c r="K13" s="29">
        <v>7</v>
      </c>
      <c r="L13" s="31">
        <f t="shared" si="0"/>
        <v>293</v>
      </c>
      <c r="M13" s="32">
        <v>1</v>
      </c>
      <c r="N13" s="32">
        <f t="shared" si="1"/>
        <v>293</v>
      </c>
      <c r="O13" s="33"/>
      <c r="P13" s="34"/>
    </row>
    <row r="14" spans="2:16" ht="30" customHeight="1" thickBot="1" x14ac:dyDescent="0.3">
      <c r="B14" s="68"/>
      <c r="C14" s="46" t="s">
        <v>124</v>
      </c>
      <c r="D14" s="46" t="s">
        <v>125</v>
      </c>
      <c r="E14" s="46" t="s">
        <v>49</v>
      </c>
      <c r="F14" s="119" t="s">
        <v>126</v>
      </c>
      <c r="G14" s="120"/>
      <c r="H14" s="46">
        <v>10</v>
      </c>
      <c r="I14" s="38">
        <v>0.5</v>
      </c>
      <c r="J14" s="38">
        <v>0.66666666666666663</v>
      </c>
      <c r="K14" s="37">
        <v>0</v>
      </c>
      <c r="L14" s="39">
        <f t="shared" si="0"/>
        <v>239.99999999999994</v>
      </c>
      <c r="M14" s="40">
        <v>10</v>
      </c>
      <c r="N14" s="40">
        <f t="shared" si="1"/>
        <v>23.999999999999993</v>
      </c>
      <c r="O14" s="41"/>
      <c r="P14" s="42"/>
    </row>
    <row r="15" spans="2:16" ht="30" customHeight="1" x14ac:dyDescent="0.25">
      <c r="B15" s="66">
        <v>46101</v>
      </c>
      <c r="C15" s="113" t="s">
        <v>124</v>
      </c>
      <c r="D15" s="28" t="s">
        <v>125</v>
      </c>
      <c r="E15" s="28" t="s">
        <v>49</v>
      </c>
      <c r="F15" s="71" t="s">
        <v>126</v>
      </c>
      <c r="G15" s="72"/>
      <c r="H15" s="28">
        <v>10</v>
      </c>
      <c r="I15" s="30">
        <v>0.29166666666666669</v>
      </c>
      <c r="J15" s="30">
        <v>0.375</v>
      </c>
      <c r="K15" s="29">
        <v>8</v>
      </c>
      <c r="L15" s="31">
        <f t="shared" si="0"/>
        <v>111.99999999999997</v>
      </c>
      <c r="M15" s="32">
        <v>10</v>
      </c>
      <c r="N15" s="32">
        <f t="shared" si="1"/>
        <v>11.199999999999998</v>
      </c>
      <c r="O15" s="33"/>
      <c r="P15" s="34"/>
    </row>
    <row r="16" spans="2:16" ht="30" customHeight="1" x14ac:dyDescent="0.25">
      <c r="B16" s="67"/>
      <c r="C16" s="114"/>
      <c r="D16" s="16" t="s">
        <v>125</v>
      </c>
      <c r="E16" s="16" t="s">
        <v>49</v>
      </c>
      <c r="F16" s="69" t="s">
        <v>174</v>
      </c>
      <c r="G16" s="70"/>
      <c r="H16" s="2">
        <v>20</v>
      </c>
      <c r="I16" s="8">
        <v>0.375</v>
      </c>
      <c r="J16" s="8">
        <v>0.45833333333333331</v>
      </c>
      <c r="K16" s="4">
        <v>0</v>
      </c>
      <c r="L16" s="11">
        <f t="shared" ref="L16" si="2">((J16-I16+(J16&lt;I16))*1440)-K16</f>
        <v>119.99999999999997</v>
      </c>
      <c r="M16" s="12">
        <v>20</v>
      </c>
      <c r="N16" s="12">
        <f t="shared" ref="N16" si="3">L16/M16</f>
        <v>5.9999999999999982</v>
      </c>
      <c r="O16" s="5"/>
      <c r="P16" s="35"/>
    </row>
    <row r="17" spans="2:16" ht="14.4" thickBot="1" x14ac:dyDescent="0.3">
      <c r="B17" s="68"/>
      <c r="C17" s="36" t="s">
        <v>172</v>
      </c>
      <c r="D17" s="36" t="s">
        <v>173</v>
      </c>
      <c r="E17" s="46" t="s">
        <v>49</v>
      </c>
      <c r="F17" s="73" t="s">
        <v>171</v>
      </c>
      <c r="G17" s="74"/>
      <c r="H17" s="36">
        <v>1</v>
      </c>
      <c r="I17" s="38">
        <v>0.45833333333333331</v>
      </c>
      <c r="J17" s="38">
        <v>0.66666666666666663</v>
      </c>
      <c r="K17" s="37">
        <v>40</v>
      </c>
      <c r="L17" s="39">
        <f t="shared" ref="L17:L50" si="4">((J17-I17+(J17&lt;I17))*1440)-K17</f>
        <v>260</v>
      </c>
      <c r="M17" s="40">
        <v>1</v>
      </c>
      <c r="N17" s="40">
        <f t="shared" ref="N17:N50" si="5">L17/M17</f>
        <v>260</v>
      </c>
      <c r="O17" s="41"/>
      <c r="P17" s="42"/>
    </row>
    <row r="18" spans="2:16" ht="13.8" x14ac:dyDescent="0.25">
      <c r="B18" s="15">
        <v>45374</v>
      </c>
      <c r="C18" s="16" t="s">
        <v>46</v>
      </c>
      <c r="D18" s="16"/>
      <c r="E18" s="16" t="s">
        <v>49</v>
      </c>
      <c r="F18" s="106"/>
      <c r="G18" s="107"/>
      <c r="H18" s="16"/>
      <c r="I18" s="24">
        <v>0</v>
      </c>
      <c r="J18" s="24">
        <v>0</v>
      </c>
      <c r="K18" s="23">
        <v>0</v>
      </c>
      <c r="L18" s="25">
        <f t="shared" si="4"/>
        <v>0</v>
      </c>
      <c r="M18" s="26">
        <v>1</v>
      </c>
      <c r="N18" s="26">
        <f t="shared" si="5"/>
        <v>0</v>
      </c>
      <c r="O18" s="27"/>
      <c r="P18" s="27"/>
    </row>
    <row r="19" spans="2:16" ht="13.8" x14ac:dyDescent="0.25">
      <c r="B19" s="1">
        <v>46105</v>
      </c>
      <c r="C19" s="2" t="s">
        <v>124</v>
      </c>
      <c r="D19" s="2" t="s">
        <v>173</v>
      </c>
      <c r="E19" s="2" t="s">
        <v>175</v>
      </c>
      <c r="F19" s="69" t="s">
        <v>176</v>
      </c>
      <c r="G19" s="70"/>
      <c r="H19" s="2">
        <v>1</v>
      </c>
      <c r="I19" s="8">
        <v>0.29166666666666669</v>
      </c>
      <c r="J19" s="8">
        <v>0.54166666666666663</v>
      </c>
      <c r="K19" s="4">
        <f>4+7</f>
        <v>11</v>
      </c>
      <c r="L19" s="11">
        <f t="shared" si="4"/>
        <v>348.99999999999994</v>
      </c>
      <c r="M19" s="12">
        <v>1</v>
      </c>
      <c r="N19" s="12">
        <f t="shared" si="5"/>
        <v>348.99999999999994</v>
      </c>
      <c r="O19" s="5"/>
      <c r="P19" s="5"/>
    </row>
    <row r="20" spans="2:16" ht="13.8" x14ac:dyDescent="0.25">
      <c r="B20" s="1"/>
      <c r="C20" s="2"/>
      <c r="D20" s="2"/>
      <c r="E20" s="2"/>
      <c r="F20" s="69"/>
      <c r="G20" s="70"/>
      <c r="H20" s="2"/>
      <c r="I20" s="8">
        <v>0</v>
      </c>
      <c r="J20" s="8">
        <v>0</v>
      </c>
      <c r="K20" s="4">
        <v>0</v>
      </c>
      <c r="L20" s="11">
        <f t="shared" si="4"/>
        <v>0</v>
      </c>
      <c r="M20" s="12">
        <v>1</v>
      </c>
      <c r="N20" s="12">
        <f t="shared" si="5"/>
        <v>0</v>
      </c>
      <c r="O20" s="5"/>
      <c r="P20" s="5"/>
    </row>
    <row r="21" spans="2:16" ht="13.8" x14ac:dyDescent="0.25">
      <c r="B21" s="1"/>
      <c r="C21" s="2"/>
      <c r="D21" s="2"/>
      <c r="E21" s="2"/>
      <c r="F21" s="69"/>
      <c r="G21" s="70"/>
      <c r="H21" s="2"/>
      <c r="I21" s="8">
        <v>0</v>
      </c>
      <c r="J21" s="8">
        <v>0</v>
      </c>
      <c r="K21" s="4">
        <v>0</v>
      </c>
      <c r="L21" s="11">
        <f t="shared" si="4"/>
        <v>0</v>
      </c>
      <c r="M21" s="12">
        <v>1</v>
      </c>
      <c r="N21" s="12">
        <f t="shared" si="5"/>
        <v>0</v>
      </c>
      <c r="O21" s="5"/>
      <c r="P21" s="5"/>
    </row>
    <row r="22" spans="2:16" ht="13.8" x14ac:dyDescent="0.25">
      <c r="B22" s="1"/>
      <c r="C22" s="2"/>
      <c r="D22" s="2"/>
      <c r="E22" s="2"/>
      <c r="F22" s="69"/>
      <c r="G22" s="70"/>
      <c r="H22" s="2"/>
      <c r="I22" s="8">
        <v>0</v>
      </c>
      <c r="J22" s="8">
        <v>0</v>
      </c>
      <c r="K22" s="4">
        <v>0</v>
      </c>
      <c r="L22" s="11">
        <f t="shared" si="4"/>
        <v>0</v>
      </c>
      <c r="M22" s="12">
        <v>1</v>
      </c>
      <c r="N22" s="12">
        <f t="shared" si="5"/>
        <v>0</v>
      </c>
      <c r="O22" s="5"/>
      <c r="P22" s="5"/>
    </row>
    <row r="23" spans="2:16" ht="13.8" x14ac:dyDescent="0.25">
      <c r="B23" s="1"/>
      <c r="C23" s="2"/>
      <c r="D23" s="2"/>
      <c r="E23" s="2"/>
      <c r="F23" s="69"/>
      <c r="G23" s="70"/>
      <c r="H23" s="2"/>
      <c r="I23" s="8">
        <v>0</v>
      </c>
      <c r="J23" s="8">
        <v>0</v>
      </c>
      <c r="K23" s="4">
        <v>0</v>
      </c>
      <c r="L23" s="11">
        <f t="shared" si="4"/>
        <v>0</v>
      </c>
      <c r="M23" s="12">
        <v>1</v>
      </c>
      <c r="N23" s="12">
        <f t="shared" si="5"/>
        <v>0</v>
      </c>
      <c r="O23" s="5"/>
      <c r="P23" s="5"/>
    </row>
    <row r="24" spans="2:16" ht="13.8" x14ac:dyDescent="0.25">
      <c r="B24" s="1"/>
      <c r="C24" s="2"/>
      <c r="D24" s="2"/>
      <c r="E24" s="2"/>
      <c r="F24" s="69"/>
      <c r="G24" s="70"/>
      <c r="H24" s="2"/>
      <c r="I24" s="8">
        <v>0</v>
      </c>
      <c r="J24" s="8">
        <v>0</v>
      </c>
      <c r="K24" s="4">
        <v>0</v>
      </c>
      <c r="L24" s="11">
        <f t="shared" si="4"/>
        <v>0</v>
      </c>
      <c r="M24" s="12">
        <v>1</v>
      </c>
      <c r="N24" s="12">
        <f t="shared" si="5"/>
        <v>0</v>
      </c>
      <c r="O24" s="5"/>
      <c r="P24" s="5"/>
    </row>
    <row r="25" spans="2:16" ht="13.8" x14ac:dyDescent="0.25">
      <c r="B25" s="1"/>
      <c r="C25" s="2"/>
      <c r="D25" s="2"/>
      <c r="E25" s="2"/>
      <c r="F25" s="69"/>
      <c r="G25" s="70"/>
      <c r="H25" s="2"/>
      <c r="I25" s="8">
        <v>0</v>
      </c>
      <c r="J25" s="8">
        <v>0</v>
      </c>
      <c r="K25" s="4">
        <v>0</v>
      </c>
      <c r="L25" s="11">
        <f t="shared" si="4"/>
        <v>0</v>
      </c>
      <c r="M25" s="12">
        <v>1</v>
      </c>
      <c r="N25" s="12">
        <f t="shared" si="5"/>
        <v>0</v>
      </c>
      <c r="O25" s="5"/>
      <c r="P25" s="5"/>
    </row>
    <row r="26" spans="2:16" ht="13.8" x14ac:dyDescent="0.25">
      <c r="B26" s="1"/>
      <c r="C26" s="2"/>
      <c r="D26" s="2"/>
      <c r="E26" s="2"/>
      <c r="F26" s="69"/>
      <c r="G26" s="70"/>
      <c r="H26" s="2"/>
      <c r="I26" s="8">
        <v>0</v>
      </c>
      <c r="J26" s="8">
        <v>0</v>
      </c>
      <c r="K26" s="4">
        <v>0</v>
      </c>
      <c r="L26" s="11">
        <f t="shared" si="4"/>
        <v>0</v>
      </c>
      <c r="M26" s="12">
        <v>1</v>
      </c>
      <c r="N26" s="12">
        <f t="shared" si="5"/>
        <v>0</v>
      </c>
      <c r="O26" s="5"/>
      <c r="P26" s="5"/>
    </row>
    <row r="27" spans="2:16" ht="13.8" x14ac:dyDescent="0.25">
      <c r="B27" s="1"/>
      <c r="C27" s="2"/>
      <c r="D27" s="2"/>
      <c r="E27" s="2"/>
      <c r="F27" s="69"/>
      <c r="G27" s="70"/>
      <c r="H27" s="2"/>
      <c r="I27" s="8">
        <v>0</v>
      </c>
      <c r="J27" s="8">
        <v>0</v>
      </c>
      <c r="K27" s="4">
        <v>0</v>
      </c>
      <c r="L27" s="11">
        <f t="shared" si="4"/>
        <v>0</v>
      </c>
      <c r="M27" s="12">
        <v>1</v>
      </c>
      <c r="N27" s="12">
        <f t="shared" si="5"/>
        <v>0</v>
      </c>
      <c r="O27" s="5"/>
      <c r="P27" s="5"/>
    </row>
    <row r="28" spans="2:16" ht="13.8" x14ac:dyDescent="0.25">
      <c r="B28" s="1"/>
      <c r="C28" s="2"/>
      <c r="D28" s="2"/>
      <c r="E28" s="2"/>
      <c r="F28" s="69"/>
      <c r="G28" s="70"/>
      <c r="H28" s="2"/>
      <c r="I28" s="8">
        <v>0</v>
      </c>
      <c r="J28" s="8">
        <v>0</v>
      </c>
      <c r="K28" s="4">
        <v>0</v>
      </c>
      <c r="L28" s="11">
        <f t="shared" si="4"/>
        <v>0</v>
      </c>
      <c r="M28" s="12">
        <v>1</v>
      </c>
      <c r="N28" s="12">
        <f t="shared" si="5"/>
        <v>0</v>
      </c>
      <c r="O28" s="5"/>
      <c r="P28" s="5"/>
    </row>
    <row r="29" spans="2:16" ht="13.8" x14ac:dyDescent="0.25">
      <c r="B29" s="1"/>
      <c r="C29" s="2"/>
      <c r="D29" s="2"/>
      <c r="E29" s="2"/>
      <c r="F29" s="69"/>
      <c r="G29" s="70"/>
      <c r="H29" s="2"/>
      <c r="I29" s="8">
        <v>0</v>
      </c>
      <c r="J29" s="8">
        <v>0</v>
      </c>
      <c r="K29" s="4">
        <v>0</v>
      </c>
      <c r="L29" s="11">
        <f t="shared" si="4"/>
        <v>0</v>
      </c>
      <c r="M29" s="12">
        <v>1</v>
      </c>
      <c r="N29" s="12">
        <f t="shared" si="5"/>
        <v>0</v>
      </c>
      <c r="O29" s="5"/>
      <c r="P29" s="5"/>
    </row>
    <row r="30" spans="2:16" ht="13.8" x14ac:dyDescent="0.25">
      <c r="B30" s="1"/>
      <c r="C30" s="2"/>
      <c r="D30" s="2"/>
      <c r="E30" s="2"/>
      <c r="F30" s="69"/>
      <c r="G30" s="70"/>
      <c r="H30" s="2"/>
      <c r="I30" s="8">
        <v>0</v>
      </c>
      <c r="J30" s="8">
        <v>0</v>
      </c>
      <c r="K30" s="4">
        <v>0</v>
      </c>
      <c r="L30" s="11">
        <f t="shared" si="4"/>
        <v>0</v>
      </c>
      <c r="M30" s="12">
        <v>1</v>
      </c>
      <c r="N30" s="12">
        <f t="shared" si="5"/>
        <v>0</v>
      </c>
      <c r="O30" s="5"/>
      <c r="P30" s="5"/>
    </row>
    <row r="31" spans="2:16" ht="13.8" x14ac:dyDescent="0.25">
      <c r="B31" s="1"/>
      <c r="C31" s="2"/>
      <c r="D31" s="2"/>
      <c r="E31" s="2"/>
      <c r="F31" s="69"/>
      <c r="G31" s="70"/>
      <c r="H31" s="2"/>
      <c r="I31" s="8">
        <v>0</v>
      </c>
      <c r="J31" s="8">
        <v>0</v>
      </c>
      <c r="K31" s="4">
        <v>0</v>
      </c>
      <c r="L31" s="11">
        <f t="shared" si="4"/>
        <v>0</v>
      </c>
      <c r="M31" s="12">
        <v>1</v>
      </c>
      <c r="N31" s="12">
        <f t="shared" si="5"/>
        <v>0</v>
      </c>
      <c r="O31" s="5"/>
      <c r="P31" s="5"/>
    </row>
    <row r="32" spans="2:16" ht="13.8" x14ac:dyDescent="0.25">
      <c r="B32" s="1"/>
      <c r="C32" s="2"/>
      <c r="D32" s="2"/>
      <c r="E32" s="2"/>
      <c r="F32" s="69"/>
      <c r="G32" s="70"/>
      <c r="H32" s="2"/>
      <c r="I32" s="8">
        <v>0</v>
      </c>
      <c r="J32" s="8">
        <v>0</v>
      </c>
      <c r="K32" s="4">
        <v>0</v>
      </c>
      <c r="L32" s="11">
        <f t="shared" si="4"/>
        <v>0</v>
      </c>
      <c r="M32" s="12">
        <v>1</v>
      </c>
      <c r="N32" s="12">
        <f t="shared" si="5"/>
        <v>0</v>
      </c>
      <c r="O32" s="5"/>
      <c r="P32" s="5"/>
    </row>
    <row r="33" spans="2:16" ht="13.8" x14ac:dyDescent="0.25">
      <c r="B33" s="1"/>
      <c r="C33" s="2"/>
      <c r="D33" s="2"/>
      <c r="E33" s="2"/>
      <c r="F33" s="69"/>
      <c r="G33" s="70"/>
      <c r="H33" s="2"/>
      <c r="I33" s="8">
        <v>0</v>
      </c>
      <c r="J33" s="8">
        <v>0</v>
      </c>
      <c r="K33" s="4">
        <v>0</v>
      </c>
      <c r="L33" s="11">
        <f t="shared" si="4"/>
        <v>0</v>
      </c>
      <c r="M33" s="12">
        <v>1</v>
      </c>
      <c r="N33" s="12">
        <f t="shared" si="5"/>
        <v>0</v>
      </c>
      <c r="O33" s="5"/>
      <c r="P33" s="5"/>
    </row>
    <row r="34" spans="2:16" ht="13.8" x14ac:dyDescent="0.25">
      <c r="B34" s="1"/>
      <c r="C34" s="2"/>
      <c r="D34" s="2"/>
      <c r="E34" s="2"/>
      <c r="F34" s="69"/>
      <c r="G34" s="70"/>
      <c r="H34" s="2"/>
      <c r="I34" s="8">
        <v>0</v>
      </c>
      <c r="J34" s="8">
        <v>0</v>
      </c>
      <c r="K34" s="4">
        <v>0</v>
      </c>
      <c r="L34" s="11">
        <f t="shared" si="4"/>
        <v>0</v>
      </c>
      <c r="M34" s="12">
        <v>1</v>
      </c>
      <c r="N34" s="12">
        <f t="shared" si="5"/>
        <v>0</v>
      </c>
      <c r="O34" s="5"/>
      <c r="P34" s="5"/>
    </row>
    <row r="35" spans="2:16" ht="13.8" x14ac:dyDescent="0.25">
      <c r="B35" s="1"/>
      <c r="C35" s="2"/>
      <c r="D35" s="2"/>
      <c r="E35" s="2"/>
      <c r="F35" s="69"/>
      <c r="G35" s="70"/>
      <c r="H35" s="2"/>
      <c r="I35" s="8">
        <v>0</v>
      </c>
      <c r="J35" s="8">
        <v>0</v>
      </c>
      <c r="K35" s="4">
        <v>0</v>
      </c>
      <c r="L35" s="11">
        <f t="shared" si="4"/>
        <v>0</v>
      </c>
      <c r="M35" s="12">
        <v>1</v>
      </c>
      <c r="N35" s="12">
        <f t="shared" si="5"/>
        <v>0</v>
      </c>
      <c r="O35" s="5"/>
      <c r="P35" s="5"/>
    </row>
    <row r="36" spans="2:16" ht="13.8" x14ac:dyDescent="0.25">
      <c r="B36" s="1"/>
      <c r="C36" s="2"/>
      <c r="D36" s="2"/>
      <c r="E36" s="2"/>
      <c r="F36" s="69"/>
      <c r="G36" s="70"/>
      <c r="H36" s="2"/>
      <c r="I36" s="8">
        <v>0</v>
      </c>
      <c r="J36" s="8">
        <v>0</v>
      </c>
      <c r="K36" s="4">
        <v>0</v>
      </c>
      <c r="L36" s="11">
        <f t="shared" si="4"/>
        <v>0</v>
      </c>
      <c r="M36" s="12">
        <v>1</v>
      </c>
      <c r="N36" s="12">
        <f t="shared" si="5"/>
        <v>0</v>
      </c>
      <c r="O36" s="5"/>
      <c r="P36" s="5"/>
    </row>
    <row r="37" spans="2:16" ht="13.8" x14ac:dyDescent="0.25">
      <c r="B37" s="1"/>
      <c r="C37" s="2"/>
      <c r="D37" s="2"/>
      <c r="E37" s="2"/>
      <c r="F37" s="69"/>
      <c r="G37" s="70"/>
      <c r="H37" s="2"/>
      <c r="I37" s="8">
        <v>0</v>
      </c>
      <c r="J37" s="8">
        <v>0</v>
      </c>
      <c r="K37" s="4">
        <v>0</v>
      </c>
      <c r="L37" s="11">
        <f t="shared" si="4"/>
        <v>0</v>
      </c>
      <c r="M37" s="12">
        <v>1</v>
      </c>
      <c r="N37" s="12">
        <f t="shared" si="5"/>
        <v>0</v>
      </c>
      <c r="O37" s="5"/>
      <c r="P37" s="5"/>
    </row>
    <row r="38" spans="2:16" ht="13.8" x14ac:dyDescent="0.25">
      <c r="B38" s="1"/>
      <c r="C38" s="2"/>
      <c r="D38" s="2"/>
      <c r="E38" s="2"/>
      <c r="F38" s="69"/>
      <c r="G38" s="70"/>
      <c r="H38" s="2"/>
      <c r="I38" s="8">
        <v>0</v>
      </c>
      <c r="J38" s="8">
        <v>0</v>
      </c>
      <c r="K38" s="4">
        <v>0</v>
      </c>
      <c r="L38" s="11">
        <f t="shared" si="4"/>
        <v>0</v>
      </c>
      <c r="M38" s="12">
        <v>1</v>
      </c>
      <c r="N38" s="12">
        <f t="shared" si="5"/>
        <v>0</v>
      </c>
      <c r="O38" s="5"/>
      <c r="P38" s="5"/>
    </row>
    <row r="39" spans="2:16" ht="13.8" x14ac:dyDescent="0.25">
      <c r="B39" s="1"/>
      <c r="C39" s="2"/>
      <c r="D39" s="2"/>
      <c r="E39" s="2"/>
      <c r="F39" s="69"/>
      <c r="G39" s="70"/>
      <c r="H39" s="2"/>
      <c r="I39" s="8">
        <v>0</v>
      </c>
      <c r="J39" s="8">
        <v>0</v>
      </c>
      <c r="K39" s="4">
        <v>0</v>
      </c>
      <c r="L39" s="11">
        <f t="shared" si="4"/>
        <v>0</v>
      </c>
      <c r="M39" s="12">
        <v>1</v>
      </c>
      <c r="N39" s="12">
        <f t="shared" si="5"/>
        <v>0</v>
      </c>
      <c r="O39" s="5"/>
      <c r="P39" s="5"/>
    </row>
    <row r="40" spans="2:16" ht="13.8" x14ac:dyDescent="0.25">
      <c r="B40" s="1"/>
      <c r="C40" s="2"/>
      <c r="D40" s="2"/>
      <c r="E40" s="2"/>
      <c r="F40" s="69"/>
      <c r="G40" s="70"/>
      <c r="H40" s="2"/>
      <c r="I40" s="8">
        <v>0</v>
      </c>
      <c r="J40" s="8">
        <v>0</v>
      </c>
      <c r="K40" s="4">
        <v>0</v>
      </c>
      <c r="L40" s="11">
        <f t="shared" si="4"/>
        <v>0</v>
      </c>
      <c r="M40" s="12">
        <v>1</v>
      </c>
      <c r="N40" s="12">
        <f t="shared" si="5"/>
        <v>0</v>
      </c>
      <c r="O40" s="5"/>
      <c r="P40" s="5"/>
    </row>
    <row r="41" spans="2:16" ht="13.8" x14ac:dyDescent="0.25">
      <c r="B41" s="1"/>
      <c r="C41" s="2"/>
      <c r="D41" s="2"/>
      <c r="E41" s="2"/>
      <c r="F41" s="69"/>
      <c r="G41" s="70"/>
      <c r="H41" s="2"/>
      <c r="I41" s="8">
        <v>0</v>
      </c>
      <c r="J41" s="8">
        <v>0</v>
      </c>
      <c r="K41" s="4">
        <v>0</v>
      </c>
      <c r="L41" s="11">
        <f t="shared" si="4"/>
        <v>0</v>
      </c>
      <c r="M41" s="12">
        <v>1</v>
      </c>
      <c r="N41" s="12">
        <f t="shared" si="5"/>
        <v>0</v>
      </c>
      <c r="O41" s="5"/>
      <c r="P41" s="5"/>
    </row>
    <row r="42" spans="2:16" ht="13.8" x14ac:dyDescent="0.25">
      <c r="B42" s="1"/>
      <c r="C42" s="2"/>
      <c r="D42" s="2"/>
      <c r="E42" s="2"/>
      <c r="F42" s="69"/>
      <c r="G42" s="70"/>
      <c r="H42" s="2"/>
      <c r="I42" s="8">
        <v>0</v>
      </c>
      <c r="J42" s="8">
        <v>0</v>
      </c>
      <c r="K42" s="4">
        <v>0</v>
      </c>
      <c r="L42" s="11">
        <f t="shared" si="4"/>
        <v>0</v>
      </c>
      <c r="M42" s="12">
        <v>1</v>
      </c>
      <c r="N42" s="12">
        <f t="shared" si="5"/>
        <v>0</v>
      </c>
      <c r="O42" s="5"/>
      <c r="P42" s="5"/>
    </row>
    <row r="43" spans="2:16" ht="13.8" x14ac:dyDescent="0.25">
      <c r="B43" s="1"/>
      <c r="C43" s="2"/>
      <c r="D43" s="2"/>
      <c r="E43" s="2"/>
      <c r="F43" s="69"/>
      <c r="G43" s="70"/>
      <c r="H43" s="2"/>
      <c r="I43" s="8">
        <v>0</v>
      </c>
      <c r="J43" s="8">
        <v>0</v>
      </c>
      <c r="K43" s="4">
        <v>0</v>
      </c>
      <c r="L43" s="11">
        <f t="shared" si="4"/>
        <v>0</v>
      </c>
      <c r="M43" s="12">
        <v>1</v>
      </c>
      <c r="N43" s="12">
        <f t="shared" si="5"/>
        <v>0</v>
      </c>
      <c r="O43" s="5"/>
      <c r="P43" s="5"/>
    </row>
    <row r="44" spans="2:16" ht="13.8" x14ac:dyDescent="0.25">
      <c r="B44" s="1"/>
      <c r="C44" s="2"/>
      <c r="D44" s="2"/>
      <c r="E44" s="2"/>
      <c r="F44" s="69"/>
      <c r="G44" s="70"/>
      <c r="H44" s="2"/>
      <c r="I44" s="8">
        <v>0</v>
      </c>
      <c r="J44" s="8">
        <v>0</v>
      </c>
      <c r="K44" s="4">
        <v>0</v>
      </c>
      <c r="L44" s="11">
        <f t="shared" si="4"/>
        <v>0</v>
      </c>
      <c r="M44" s="12">
        <v>1</v>
      </c>
      <c r="N44" s="12">
        <f t="shared" si="5"/>
        <v>0</v>
      </c>
      <c r="O44" s="5"/>
      <c r="P44" s="5"/>
    </row>
    <row r="45" spans="2:16" ht="13.8" x14ac:dyDescent="0.25">
      <c r="B45" s="1"/>
      <c r="C45" s="2"/>
      <c r="D45" s="2"/>
      <c r="E45" s="2"/>
      <c r="F45" s="69"/>
      <c r="G45" s="70"/>
      <c r="H45" s="2"/>
      <c r="I45" s="8">
        <v>0</v>
      </c>
      <c r="J45" s="8">
        <v>0</v>
      </c>
      <c r="K45" s="4">
        <v>0</v>
      </c>
      <c r="L45" s="11">
        <f t="shared" si="4"/>
        <v>0</v>
      </c>
      <c r="M45" s="12">
        <v>1</v>
      </c>
      <c r="N45" s="12">
        <f t="shared" si="5"/>
        <v>0</v>
      </c>
      <c r="O45" s="5"/>
      <c r="P45" s="5"/>
    </row>
    <row r="46" spans="2:16" ht="13.8" x14ac:dyDescent="0.25">
      <c r="B46" s="1"/>
      <c r="C46" s="2"/>
      <c r="D46" s="2"/>
      <c r="E46" s="2"/>
      <c r="F46" s="69"/>
      <c r="G46" s="70"/>
      <c r="H46" s="2"/>
      <c r="I46" s="8">
        <v>0</v>
      </c>
      <c r="J46" s="8">
        <v>0</v>
      </c>
      <c r="K46" s="4">
        <v>0</v>
      </c>
      <c r="L46" s="11">
        <f t="shared" si="4"/>
        <v>0</v>
      </c>
      <c r="M46" s="12">
        <v>1</v>
      </c>
      <c r="N46" s="12">
        <f t="shared" si="5"/>
        <v>0</v>
      </c>
      <c r="O46" s="5"/>
      <c r="P46" s="5"/>
    </row>
    <row r="47" spans="2:16" ht="13.8" x14ac:dyDescent="0.25">
      <c r="B47" s="1"/>
      <c r="C47" s="2"/>
      <c r="D47" s="2"/>
      <c r="E47" s="2"/>
      <c r="F47" s="69"/>
      <c r="G47" s="70"/>
      <c r="H47" s="2"/>
      <c r="I47" s="8">
        <v>0</v>
      </c>
      <c r="J47" s="8">
        <v>0</v>
      </c>
      <c r="K47" s="4">
        <v>0</v>
      </c>
      <c r="L47" s="11">
        <f t="shared" si="4"/>
        <v>0</v>
      </c>
      <c r="M47" s="12">
        <v>1</v>
      </c>
      <c r="N47" s="12">
        <f t="shared" si="5"/>
        <v>0</v>
      </c>
      <c r="O47" s="5"/>
      <c r="P47" s="5"/>
    </row>
    <row r="48" spans="2:16" ht="13.8" x14ac:dyDescent="0.25">
      <c r="B48" s="1"/>
      <c r="C48" s="2"/>
      <c r="D48" s="2"/>
      <c r="E48" s="2"/>
      <c r="F48" s="69"/>
      <c r="G48" s="70"/>
      <c r="H48" s="2"/>
      <c r="I48" s="8">
        <v>0</v>
      </c>
      <c r="J48" s="8">
        <v>0</v>
      </c>
      <c r="K48" s="4">
        <v>0</v>
      </c>
      <c r="L48" s="11">
        <f t="shared" si="4"/>
        <v>0</v>
      </c>
      <c r="M48" s="12">
        <v>1</v>
      </c>
      <c r="N48" s="12">
        <f t="shared" si="5"/>
        <v>0</v>
      </c>
      <c r="O48" s="5"/>
      <c r="P48" s="5"/>
    </row>
    <row r="49" spans="2:16" ht="13.8" x14ac:dyDescent="0.25">
      <c r="B49" s="1"/>
      <c r="C49" s="2"/>
      <c r="D49" s="2"/>
      <c r="E49" s="2"/>
      <c r="F49" s="69"/>
      <c r="G49" s="70"/>
      <c r="H49" s="2"/>
      <c r="I49" s="8">
        <v>0</v>
      </c>
      <c r="J49" s="8">
        <v>0</v>
      </c>
      <c r="K49" s="4">
        <v>0</v>
      </c>
      <c r="L49" s="11">
        <f t="shared" si="4"/>
        <v>0</v>
      </c>
      <c r="M49" s="12">
        <v>1</v>
      </c>
      <c r="N49" s="12">
        <f t="shared" si="5"/>
        <v>0</v>
      </c>
      <c r="O49" s="5"/>
      <c r="P49" s="5"/>
    </row>
    <row r="50" spans="2:16" ht="13.8" x14ac:dyDescent="0.25">
      <c r="B50" s="1"/>
      <c r="C50" s="2"/>
      <c r="D50" s="2"/>
      <c r="E50" s="2"/>
      <c r="F50" s="69"/>
      <c r="G50" s="70"/>
      <c r="H50" s="2"/>
      <c r="I50" s="8">
        <v>0</v>
      </c>
      <c r="J50" s="8">
        <v>0</v>
      </c>
      <c r="K50" s="4">
        <v>0</v>
      </c>
      <c r="L50" s="11">
        <f t="shared" si="4"/>
        <v>0</v>
      </c>
      <c r="M50" s="12">
        <v>1</v>
      </c>
      <c r="N50" s="12">
        <f t="shared" si="5"/>
        <v>0</v>
      </c>
      <c r="O50" s="5"/>
      <c r="P50" s="5"/>
    </row>
  </sheetData>
  <mergeCells count="68">
    <mergeCell ref="F49:G49"/>
    <mergeCell ref="F50:G50"/>
    <mergeCell ref="B13:B14"/>
    <mergeCell ref="F44:G44"/>
    <mergeCell ref="F45:G45"/>
    <mergeCell ref="F46:G46"/>
    <mergeCell ref="F47:G47"/>
    <mergeCell ref="F48:G48"/>
    <mergeCell ref="F39:G39"/>
    <mergeCell ref="F40:G40"/>
    <mergeCell ref="F41:G41"/>
    <mergeCell ref="F42:G42"/>
    <mergeCell ref="F43:G43"/>
    <mergeCell ref="F34:G34"/>
    <mergeCell ref="F35:G35"/>
    <mergeCell ref="F36:G36"/>
    <mergeCell ref="F27:G27"/>
    <mergeCell ref="F28:G28"/>
    <mergeCell ref="F37:G37"/>
    <mergeCell ref="F38:G38"/>
    <mergeCell ref="F29:G29"/>
    <mergeCell ref="F30:G30"/>
    <mergeCell ref="F31:G31"/>
    <mergeCell ref="F32:G32"/>
    <mergeCell ref="F33:G33"/>
    <mergeCell ref="F22:G22"/>
    <mergeCell ref="F23:G23"/>
    <mergeCell ref="F24:G24"/>
    <mergeCell ref="F25:G25"/>
    <mergeCell ref="F26:G26"/>
    <mergeCell ref="F19:G19"/>
    <mergeCell ref="F20:G20"/>
    <mergeCell ref="F21:G21"/>
    <mergeCell ref="F16:G16"/>
    <mergeCell ref="F17:G17"/>
    <mergeCell ref="F18:G18"/>
    <mergeCell ref="F13:G13"/>
    <mergeCell ref="F14:G14"/>
    <mergeCell ref="F15:G15"/>
    <mergeCell ref="B15:B17"/>
    <mergeCell ref="C15:C16"/>
    <mergeCell ref="B7:B9"/>
    <mergeCell ref="F7:G7"/>
    <mergeCell ref="F8:G8"/>
    <mergeCell ref="F9:G9"/>
    <mergeCell ref="B10:B12"/>
    <mergeCell ref="F10:G10"/>
    <mergeCell ref="F11:G11"/>
    <mergeCell ref="F12:G12"/>
    <mergeCell ref="B1:C2"/>
    <mergeCell ref="D1:N2"/>
    <mergeCell ref="O1:P1"/>
    <mergeCell ref="O2:P2"/>
    <mergeCell ref="B3:H3"/>
    <mergeCell ref="I3:N3"/>
    <mergeCell ref="O3:P3"/>
    <mergeCell ref="B4:N4"/>
    <mergeCell ref="O4:P4"/>
    <mergeCell ref="B5:B6"/>
    <mergeCell ref="C5:C6"/>
    <mergeCell ref="D5:D6"/>
    <mergeCell ref="E5:E6"/>
    <mergeCell ref="F5:G6"/>
    <mergeCell ref="H5:H6"/>
    <mergeCell ref="I5:K5"/>
    <mergeCell ref="L5:N5"/>
    <mergeCell ref="O5:O6"/>
    <mergeCell ref="P5:P6"/>
  </mergeCells>
  <phoneticPr fontId="12" type="noConversion"/>
  <pageMargins left="0.19685039370078741" right="0" top="0.19685039370078741" bottom="0" header="0" footer="0"/>
  <pageSetup paperSize="9" scale="6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58111-7A6D-4346-B1F8-25C73FD1B30D}">
  <sheetPr>
    <pageSetUpPr fitToPage="1"/>
  </sheetPr>
  <dimension ref="B1:P98"/>
  <sheetViews>
    <sheetView tabSelected="1" topLeftCell="A3" zoomScale="120" zoomScaleNormal="120" workbookViewId="0">
      <selection activeCell="D19" sqref="D19"/>
    </sheetView>
  </sheetViews>
  <sheetFormatPr baseColWidth="10" defaultColWidth="8.88671875" defaultRowHeight="13.2" x14ac:dyDescent="0.25"/>
  <cols>
    <col min="1" max="1" width="2.109375" customWidth="1"/>
    <col min="2" max="2" width="11.77734375" customWidth="1"/>
    <col min="3" max="3" width="17.5546875" customWidth="1"/>
    <col min="4" max="4" width="17.6640625" customWidth="1"/>
    <col min="5" max="5" width="15.21875" customWidth="1"/>
    <col min="6" max="6" width="14.6640625" customWidth="1"/>
    <col min="7" max="7" width="16" customWidth="1"/>
    <col min="8" max="8" width="28.44140625" customWidth="1"/>
    <col min="9" max="10" width="17.109375" customWidth="1"/>
    <col min="11" max="11" width="17.33203125" customWidth="1"/>
    <col min="12" max="12" width="16.33203125" customWidth="1"/>
    <col min="13" max="13" width="13.77734375" customWidth="1"/>
    <col min="14" max="14" width="14.77734375" customWidth="1"/>
    <col min="15" max="15" width="22.44140625" customWidth="1"/>
    <col min="16" max="16" width="17.33203125" customWidth="1"/>
  </cols>
  <sheetData>
    <row r="1" spans="2:16" ht="18" customHeight="1" x14ac:dyDescent="0.25">
      <c r="B1" s="80"/>
      <c r="C1" s="80"/>
      <c r="D1" s="82" t="s">
        <v>18</v>
      </c>
      <c r="E1" s="82"/>
      <c r="F1" s="82"/>
      <c r="G1" s="82"/>
      <c r="H1" s="82"/>
      <c r="I1" s="82"/>
      <c r="J1" s="82"/>
      <c r="K1" s="82"/>
      <c r="L1" s="82"/>
      <c r="M1" s="82"/>
      <c r="N1" s="82"/>
      <c r="O1" s="75" t="s">
        <v>21</v>
      </c>
      <c r="P1" s="76"/>
    </row>
    <row r="2" spans="2:16" ht="19.2" customHeight="1" x14ac:dyDescent="0.25">
      <c r="B2" s="81"/>
      <c r="C2" s="81"/>
      <c r="D2" s="83"/>
      <c r="E2" s="83"/>
      <c r="F2" s="83"/>
      <c r="G2" s="83"/>
      <c r="H2" s="83"/>
      <c r="I2" s="84"/>
      <c r="J2" s="84"/>
      <c r="K2" s="84"/>
      <c r="L2" s="84"/>
      <c r="M2" s="84"/>
      <c r="N2" s="84"/>
      <c r="O2" s="76" t="s">
        <v>0</v>
      </c>
      <c r="P2" s="76"/>
    </row>
    <row r="3" spans="2:16" ht="12.6" customHeight="1" x14ac:dyDescent="0.25">
      <c r="B3" s="79" t="s">
        <v>9</v>
      </c>
      <c r="C3" s="79"/>
      <c r="D3" s="79"/>
      <c r="E3" s="79"/>
      <c r="F3" s="79"/>
      <c r="G3" s="79"/>
      <c r="H3" s="79"/>
      <c r="I3" s="77" t="s">
        <v>10</v>
      </c>
      <c r="J3" s="78"/>
      <c r="K3" s="78"/>
      <c r="L3" s="78"/>
      <c r="M3" s="78"/>
      <c r="N3" s="78"/>
      <c r="O3" s="75" t="s">
        <v>19</v>
      </c>
      <c r="P3" s="76"/>
    </row>
    <row r="4" spans="2:16" ht="10.199999999999999" customHeight="1" x14ac:dyDescent="0.25">
      <c r="B4" s="86" t="s">
        <v>17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75" t="s">
        <v>20</v>
      </c>
      <c r="P4" s="76"/>
    </row>
    <row r="5" spans="2:16" ht="15.45" customHeight="1" x14ac:dyDescent="0.25">
      <c r="B5" s="91" t="s">
        <v>1</v>
      </c>
      <c r="C5" s="91" t="s">
        <v>3</v>
      </c>
      <c r="D5" s="91" t="s">
        <v>4</v>
      </c>
      <c r="E5" s="91" t="s">
        <v>2</v>
      </c>
      <c r="F5" s="100" t="s">
        <v>15</v>
      </c>
      <c r="G5" s="101"/>
      <c r="H5" s="91" t="s">
        <v>22</v>
      </c>
      <c r="I5" s="93" t="s">
        <v>16</v>
      </c>
      <c r="J5" s="94"/>
      <c r="K5" s="95"/>
      <c r="L5" s="96" t="s">
        <v>6</v>
      </c>
      <c r="M5" s="97"/>
      <c r="N5" s="98"/>
      <c r="O5" s="99" t="s">
        <v>5</v>
      </c>
      <c r="P5" s="99" t="s">
        <v>14</v>
      </c>
    </row>
    <row r="6" spans="2:16" ht="25.8" customHeight="1" x14ac:dyDescent="0.25">
      <c r="B6" s="92"/>
      <c r="C6" s="92"/>
      <c r="D6" s="92"/>
      <c r="E6" s="92"/>
      <c r="F6" s="102"/>
      <c r="G6" s="103"/>
      <c r="H6" s="92"/>
      <c r="I6" s="6" t="s">
        <v>7</v>
      </c>
      <c r="J6" s="6" t="s">
        <v>8</v>
      </c>
      <c r="K6" s="6" t="s">
        <v>11</v>
      </c>
      <c r="L6" s="7" t="s">
        <v>13</v>
      </c>
      <c r="M6" s="7" t="s">
        <v>23</v>
      </c>
      <c r="N6" s="7" t="s">
        <v>12</v>
      </c>
      <c r="O6" s="99"/>
      <c r="P6" s="99"/>
    </row>
    <row r="7" spans="2:16" ht="30" customHeight="1" x14ac:dyDescent="0.25">
      <c r="B7" s="88">
        <v>46098</v>
      </c>
      <c r="C7" s="2" t="s">
        <v>53</v>
      </c>
      <c r="D7" s="2" t="s">
        <v>53</v>
      </c>
      <c r="E7" s="2" t="s">
        <v>54</v>
      </c>
      <c r="F7" s="85" t="s">
        <v>74</v>
      </c>
      <c r="G7" s="85"/>
      <c r="H7" s="2">
        <v>1</v>
      </c>
      <c r="I7" s="8">
        <v>0.29166666666666669</v>
      </c>
      <c r="J7" s="8">
        <v>0.375</v>
      </c>
      <c r="K7" s="4">
        <v>0</v>
      </c>
      <c r="L7" s="11">
        <f>((J7-I7+(J7&lt;I7))*1440)-K7</f>
        <v>119.99999999999997</v>
      </c>
      <c r="M7" s="12">
        <v>1</v>
      </c>
      <c r="N7" s="12">
        <f>L7/M7</f>
        <v>119.99999999999997</v>
      </c>
      <c r="O7" s="5"/>
      <c r="P7" s="5"/>
    </row>
    <row r="8" spans="2:16" ht="30" customHeight="1" x14ac:dyDescent="0.25">
      <c r="B8" s="89"/>
      <c r="C8" s="2" t="s">
        <v>24</v>
      </c>
      <c r="D8" s="2" t="s">
        <v>28</v>
      </c>
      <c r="E8" s="2" t="s">
        <v>70</v>
      </c>
      <c r="F8" s="85" t="s">
        <v>71</v>
      </c>
      <c r="G8" s="85"/>
      <c r="H8" s="2">
        <v>1</v>
      </c>
      <c r="I8" s="8">
        <v>0.375</v>
      </c>
      <c r="J8" s="8">
        <v>0.3888888888888889</v>
      </c>
      <c r="K8" s="4">
        <v>0</v>
      </c>
      <c r="L8" s="11">
        <f>((J8-I8+(J8&lt;I8))*1440)-K8</f>
        <v>20.000000000000007</v>
      </c>
      <c r="M8" s="12">
        <v>1</v>
      </c>
      <c r="N8" s="12">
        <f>L8/M8</f>
        <v>20.000000000000007</v>
      </c>
      <c r="O8" s="5"/>
      <c r="P8" s="5"/>
    </row>
    <row r="9" spans="2:16" ht="30" customHeight="1" x14ac:dyDescent="0.25">
      <c r="B9" s="90"/>
      <c r="C9" s="2" t="s">
        <v>124</v>
      </c>
      <c r="D9" s="2"/>
      <c r="E9" s="2" t="s">
        <v>72</v>
      </c>
      <c r="F9" s="85" t="s">
        <v>73</v>
      </c>
      <c r="G9" s="85"/>
      <c r="H9" s="2">
        <v>9</v>
      </c>
      <c r="I9" s="8">
        <v>0.3888888888888889</v>
      </c>
      <c r="J9" s="8">
        <v>0.66666666666666663</v>
      </c>
      <c r="K9" s="4">
        <f>15+40</f>
        <v>55</v>
      </c>
      <c r="L9" s="11">
        <f t="shared" ref="L9:L15" si="0">((J9-I9+(J9&lt;I9))*1440)-K9</f>
        <v>344.99999999999994</v>
      </c>
      <c r="M9" s="12">
        <v>9</v>
      </c>
      <c r="N9" s="12">
        <f t="shared" ref="N9:N15" si="1">L9/M9</f>
        <v>38.333333333333329</v>
      </c>
      <c r="O9" s="5"/>
      <c r="P9" s="5"/>
    </row>
    <row r="10" spans="2:16" ht="30" customHeight="1" x14ac:dyDescent="0.25">
      <c r="B10" s="1"/>
      <c r="C10" s="2"/>
      <c r="D10" s="2"/>
      <c r="E10" s="2"/>
      <c r="F10" s="85"/>
      <c r="G10" s="85"/>
      <c r="H10" s="2"/>
      <c r="I10" s="8">
        <v>0</v>
      </c>
      <c r="J10" s="8">
        <v>0</v>
      </c>
      <c r="K10" s="4">
        <v>0</v>
      </c>
      <c r="L10" s="11">
        <f t="shared" si="0"/>
        <v>0</v>
      </c>
      <c r="M10" s="12">
        <v>2</v>
      </c>
      <c r="N10" s="12">
        <f t="shared" si="1"/>
        <v>0</v>
      </c>
      <c r="O10" s="5"/>
      <c r="P10" s="5"/>
    </row>
    <row r="11" spans="2:16" ht="30" customHeight="1" x14ac:dyDescent="0.25">
      <c r="B11" s="1"/>
      <c r="C11" s="2"/>
      <c r="D11" s="2"/>
      <c r="E11" s="2"/>
      <c r="F11" s="85"/>
      <c r="G11" s="85"/>
      <c r="H11" s="2"/>
      <c r="I11" s="8">
        <v>0</v>
      </c>
      <c r="J11" s="8">
        <v>0</v>
      </c>
      <c r="K11" s="4">
        <v>0</v>
      </c>
      <c r="L11" s="11">
        <f t="shared" si="0"/>
        <v>0</v>
      </c>
      <c r="M11" s="12">
        <v>1</v>
      </c>
      <c r="N11" s="12">
        <f t="shared" si="1"/>
        <v>0</v>
      </c>
      <c r="O11" s="5"/>
      <c r="P11" s="5"/>
    </row>
    <row r="12" spans="2:16" ht="30" customHeight="1" x14ac:dyDescent="0.25">
      <c r="B12" s="1"/>
      <c r="C12" s="2"/>
      <c r="D12" s="2"/>
      <c r="E12" s="2"/>
      <c r="F12" s="85"/>
      <c r="G12" s="85"/>
      <c r="H12" s="2"/>
      <c r="I12" s="8">
        <v>0</v>
      </c>
      <c r="J12" s="8">
        <v>0</v>
      </c>
      <c r="K12" s="4">
        <v>0</v>
      </c>
      <c r="L12" s="11">
        <f t="shared" si="0"/>
        <v>0</v>
      </c>
      <c r="M12" s="12">
        <v>2</v>
      </c>
      <c r="N12" s="12">
        <f t="shared" si="1"/>
        <v>0</v>
      </c>
      <c r="O12" s="5"/>
      <c r="P12" s="5"/>
    </row>
    <row r="13" spans="2:16" ht="30" customHeight="1" thickBot="1" x14ac:dyDescent="0.3">
      <c r="B13" s="43"/>
      <c r="C13" s="17"/>
      <c r="D13" s="17"/>
      <c r="E13" s="17"/>
      <c r="F13" s="104"/>
      <c r="G13" s="105"/>
      <c r="H13" s="17"/>
      <c r="I13" s="18">
        <v>0</v>
      </c>
      <c r="J13" s="18">
        <v>0</v>
      </c>
      <c r="K13" s="19">
        <v>0</v>
      </c>
      <c r="L13" s="20">
        <f t="shared" si="0"/>
        <v>0</v>
      </c>
      <c r="M13" s="21">
        <v>1</v>
      </c>
      <c r="N13" s="21">
        <f t="shared" si="1"/>
        <v>0</v>
      </c>
      <c r="O13" s="22"/>
      <c r="P13" s="22"/>
    </row>
    <row r="14" spans="2:16" ht="30" customHeight="1" x14ac:dyDescent="0.25">
      <c r="B14" s="124">
        <v>46113</v>
      </c>
      <c r="C14" s="28" t="s">
        <v>124</v>
      </c>
      <c r="D14" s="28" t="s">
        <v>125</v>
      </c>
      <c r="E14" s="28" t="s">
        <v>255</v>
      </c>
      <c r="F14" s="71" t="s">
        <v>256</v>
      </c>
      <c r="G14" s="72"/>
      <c r="H14" s="28">
        <v>2</v>
      </c>
      <c r="I14" s="30">
        <v>0.29166666666666669</v>
      </c>
      <c r="J14" s="30">
        <v>0.39583333333333331</v>
      </c>
      <c r="K14" s="29">
        <v>0</v>
      </c>
      <c r="L14" s="31">
        <f t="shared" si="0"/>
        <v>149.99999999999994</v>
      </c>
      <c r="M14" s="32">
        <v>2</v>
      </c>
      <c r="N14" s="32">
        <f t="shared" si="1"/>
        <v>74.999999999999972</v>
      </c>
      <c r="O14" s="33"/>
      <c r="P14" s="34"/>
    </row>
    <row r="15" spans="2:16" ht="30" customHeight="1" x14ac:dyDescent="0.25">
      <c r="B15" s="125"/>
      <c r="C15" s="2" t="s">
        <v>124</v>
      </c>
      <c r="D15" s="2" t="s">
        <v>257</v>
      </c>
      <c r="E15" s="2" t="s">
        <v>143</v>
      </c>
      <c r="F15" s="69" t="s">
        <v>258</v>
      </c>
      <c r="G15" s="70"/>
      <c r="H15" s="2">
        <v>2</v>
      </c>
      <c r="I15" s="8">
        <v>0.39583333333333331</v>
      </c>
      <c r="J15" s="8">
        <v>0.47916666666666669</v>
      </c>
      <c r="K15" s="4">
        <v>15</v>
      </c>
      <c r="L15" s="11">
        <f t="shared" si="0"/>
        <v>105.00000000000006</v>
      </c>
      <c r="M15" s="12">
        <v>2</v>
      </c>
      <c r="N15" s="12">
        <f t="shared" si="1"/>
        <v>52.500000000000028</v>
      </c>
      <c r="O15" s="5"/>
      <c r="P15" s="35"/>
    </row>
    <row r="16" spans="2:16" ht="28.2" thickBot="1" x14ac:dyDescent="0.3">
      <c r="B16" s="126"/>
      <c r="C16" s="36" t="s">
        <v>172</v>
      </c>
      <c r="D16" s="16" t="s">
        <v>208</v>
      </c>
      <c r="E16" s="36" t="s">
        <v>131</v>
      </c>
      <c r="F16" s="73" t="s">
        <v>259</v>
      </c>
      <c r="G16" s="74"/>
      <c r="H16" s="36">
        <v>1</v>
      </c>
      <c r="I16" s="38">
        <v>0.47916666666666669</v>
      </c>
      <c r="J16" s="38">
        <v>0.66666666666666663</v>
      </c>
      <c r="K16" s="37">
        <v>30</v>
      </c>
      <c r="L16" s="39">
        <f t="shared" ref="L16:L79" si="2">((J16-I16+(J16&lt;I16))*1440)-K16</f>
        <v>239.99999999999994</v>
      </c>
      <c r="M16" s="40">
        <v>1</v>
      </c>
      <c r="N16" s="40">
        <f t="shared" ref="N16:N79" si="3">L16/M16</f>
        <v>239.99999999999994</v>
      </c>
      <c r="O16" s="41" t="s">
        <v>260</v>
      </c>
      <c r="P16" s="42"/>
    </row>
    <row r="17" spans="2:16" ht="43.2" customHeight="1" x14ac:dyDescent="0.25">
      <c r="B17" s="15">
        <v>46118</v>
      </c>
      <c r="C17" s="16" t="s">
        <v>172</v>
      </c>
      <c r="D17" s="16" t="s">
        <v>261</v>
      </c>
      <c r="E17" s="16" t="s">
        <v>262</v>
      </c>
      <c r="F17" s="106" t="s">
        <v>263</v>
      </c>
      <c r="G17" s="107"/>
      <c r="H17" s="16">
        <v>2</v>
      </c>
      <c r="I17" s="24">
        <v>0.3125</v>
      </c>
      <c r="J17" s="24">
        <v>0.4375</v>
      </c>
      <c r="K17" s="23">
        <v>15</v>
      </c>
      <c r="L17" s="25">
        <f t="shared" si="2"/>
        <v>165</v>
      </c>
      <c r="M17" s="26">
        <v>1</v>
      </c>
      <c r="N17" s="26">
        <f t="shared" si="3"/>
        <v>165</v>
      </c>
      <c r="O17" s="27"/>
      <c r="P17" s="27"/>
    </row>
    <row r="18" spans="2:16" ht="13.8" x14ac:dyDescent="0.25">
      <c r="B18" s="1"/>
      <c r="C18" s="2" t="s">
        <v>172</v>
      </c>
      <c r="D18" s="2" t="s">
        <v>261</v>
      </c>
      <c r="E18" s="2" t="s">
        <v>139</v>
      </c>
      <c r="F18" s="69" t="s">
        <v>264</v>
      </c>
      <c r="G18" s="70"/>
      <c r="H18" s="2">
        <v>1</v>
      </c>
      <c r="I18" s="8">
        <v>0.4375</v>
      </c>
      <c r="J18" s="8">
        <v>0.56944444444444442</v>
      </c>
      <c r="K18" s="4">
        <v>40</v>
      </c>
      <c r="L18" s="11">
        <f t="shared" si="2"/>
        <v>149.99999999999997</v>
      </c>
      <c r="M18" s="12">
        <v>1</v>
      </c>
      <c r="N18" s="12">
        <f t="shared" si="3"/>
        <v>149.99999999999997</v>
      </c>
      <c r="O18" s="5"/>
      <c r="P18" s="5"/>
    </row>
    <row r="19" spans="2:16" ht="27.6" x14ac:dyDescent="0.25">
      <c r="B19" s="1"/>
      <c r="C19" s="2" t="s">
        <v>172</v>
      </c>
      <c r="D19" s="2"/>
      <c r="E19" s="2"/>
      <c r="F19" s="69"/>
      <c r="G19" s="70"/>
      <c r="H19" s="2">
        <v>1</v>
      </c>
      <c r="I19" s="8">
        <v>0.56944444444444442</v>
      </c>
      <c r="J19" s="8">
        <v>0.66666666666666663</v>
      </c>
      <c r="K19" s="4">
        <v>15</v>
      </c>
      <c r="L19" s="11">
        <f t="shared" si="2"/>
        <v>124.99999999999997</v>
      </c>
      <c r="M19" s="12">
        <v>1</v>
      </c>
      <c r="N19" s="12">
        <f t="shared" si="3"/>
        <v>124.99999999999997</v>
      </c>
      <c r="O19" s="5" t="s">
        <v>265</v>
      </c>
      <c r="P19" s="5"/>
    </row>
    <row r="20" spans="2:16" ht="13.8" x14ac:dyDescent="0.25">
      <c r="B20" s="1"/>
      <c r="C20" s="2"/>
      <c r="D20" s="2"/>
      <c r="E20" s="2"/>
      <c r="F20" s="69"/>
      <c r="G20" s="70"/>
      <c r="H20" s="2"/>
      <c r="I20" s="8">
        <v>0</v>
      </c>
      <c r="J20" s="8">
        <v>0</v>
      </c>
      <c r="K20" s="4">
        <v>0</v>
      </c>
      <c r="L20" s="11">
        <f t="shared" si="2"/>
        <v>0</v>
      </c>
      <c r="M20" s="12">
        <v>1</v>
      </c>
      <c r="N20" s="12">
        <f t="shared" si="3"/>
        <v>0</v>
      </c>
      <c r="O20" s="5"/>
      <c r="P20" s="5"/>
    </row>
    <row r="21" spans="2:16" ht="13.8" x14ac:dyDescent="0.25">
      <c r="B21" s="1"/>
      <c r="C21" s="2"/>
      <c r="D21" s="2"/>
      <c r="E21" s="2"/>
      <c r="F21" s="69"/>
      <c r="G21" s="70"/>
      <c r="H21" s="2"/>
      <c r="I21" s="8">
        <v>0</v>
      </c>
      <c r="J21" s="8">
        <v>0</v>
      </c>
      <c r="K21" s="4">
        <v>0</v>
      </c>
      <c r="L21" s="11">
        <f t="shared" si="2"/>
        <v>0</v>
      </c>
      <c r="M21" s="12">
        <v>1</v>
      </c>
      <c r="N21" s="12">
        <f t="shared" si="3"/>
        <v>0</v>
      </c>
      <c r="O21" s="5"/>
      <c r="P21" s="5"/>
    </row>
    <row r="22" spans="2:16" ht="13.8" x14ac:dyDescent="0.25">
      <c r="B22" s="1"/>
      <c r="C22" s="2"/>
      <c r="D22" s="2"/>
      <c r="E22" s="2"/>
      <c r="F22" s="69"/>
      <c r="G22" s="70"/>
      <c r="H22" s="2"/>
      <c r="I22" s="8">
        <v>0</v>
      </c>
      <c r="J22" s="8">
        <v>0</v>
      </c>
      <c r="K22" s="4">
        <v>0</v>
      </c>
      <c r="L22" s="11">
        <f t="shared" si="2"/>
        <v>0</v>
      </c>
      <c r="M22" s="12">
        <v>1</v>
      </c>
      <c r="N22" s="12">
        <f t="shared" si="3"/>
        <v>0</v>
      </c>
      <c r="O22" s="5"/>
      <c r="P22" s="5"/>
    </row>
    <row r="23" spans="2:16" ht="13.8" x14ac:dyDescent="0.25">
      <c r="B23" s="1"/>
      <c r="C23" s="2"/>
      <c r="D23" s="2"/>
      <c r="E23" s="2"/>
      <c r="F23" s="69"/>
      <c r="G23" s="70"/>
      <c r="H23" s="2"/>
      <c r="I23" s="8">
        <v>0</v>
      </c>
      <c r="J23" s="8">
        <v>0</v>
      </c>
      <c r="K23" s="4">
        <v>0</v>
      </c>
      <c r="L23" s="11">
        <f t="shared" si="2"/>
        <v>0</v>
      </c>
      <c r="M23" s="12">
        <v>1</v>
      </c>
      <c r="N23" s="12">
        <f t="shared" si="3"/>
        <v>0</v>
      </c>
      <c r="O23" s="5"/>
      <c r="P23" s="5"/>
    </row>
    <row r="24" spans="2:16" ht="13.8" x14ac:dyDescent="0.25">
      <c r="B24" s="1"/>
      <c r="C24" s="2"/>
      <c r="D24" s="2"/>
      <c r="E24" s="2"/>
      <c r="F24" s="69"/>
      <c r="G24" s="70"/>
      <c r="H24" s="2"/>
      <c r="I24" s="8">
        <v>0</v>
      </c>
      <c r="J24" s="8">
        <v>0</v>
      </c>
      <c r="K24" s="4">
        <v>0</v>
      </c>
      <c r="L24" s="11">
        <f t="shared" si="2"/>
        <v>0</v>
      </c>
      <c r="M24" s="12">
        <v>1</v>
      </c>
      <c r="N24" s="12">
        <f t="shared" si="3"/>
        <v>0</v>
      </c>
      <c r="O24" s="5"/>
      <c r="P24" s="5"/>
    </row>
    <row r="25" spans="2:16" ht="13.8" x14ac:dyDescent="0.25">
      <c r="B25" s="1"/>
      <c r="C25" s="2"/>
      <c r="D25" s="2"/>
      <c r="E25" s="2"/>
      <c r="F25" s="69"/>
      <c r="G25" s="70"/>
      <c r="H25" s="2"/>
      <c r="I25" s="8">
        <v>0</v>
      </c>
      <c r="J25" s="8">
        <v>0</v>
      </c>
      <c r="K25" s="4">
        <v>0</v>
      </c>
      <c r="L25" s="11">
        <f t="shared" si="2"/>
        <v>0</v>
      </c>
      <c r="M25" s="12">
        <v>1</v>
      </c>
      <c r="N25" s="12">
        <f t="shared" si="3"/>
        <v>0</v>
      </c>
      <c r="O25" s="5"/>
      <c r="P25" s="5"/>
    </row>
    <row r="26" spans="2:16" ht="13.8" x14ac:dyDescent="0.25">
      <c r="B26" s="1"/>
      <c r="C26" s="2"/>
      <c r="D26" s="2"/>
      <c r="E26" s="2"/>
      <c r="F26" s="69"/>
      <c r="G26" s="70"/>
      <c r="H26" s="2"/>
      <c r="I26" s="8">
        <v>0</v>
      </c>
      <c r="J26" s="8">
        <v>0</v>
      </c>
      <c r="K26" s="4">
        <v>0</v>
      </c>
      <c r="L26" s="11">
        <f t="shared" si="2"/>
        <v>0</v>
      </c>
      <c r="M26" s="12">
        <v>1</v>
      </c>
      <c r="N26" s="12">
        <f t="shared" si="3"/>
        <v>0</v>
      </c>
      <c r="O26" s="5"/>
      <c r="P26" s="5"/>
    </row>
    <row r="27" spans="2:16" ht="13.8" x14ac:dyDescent="0.25">
      <c r="B27" s="1"/>
      <c r="C27" s="2"/>
      <c r="D27" s="2"/>
      <c r="E27" s="2"/>
      <c r="F27" s="69"/>
      <c r="G27" s="70"/>
      <c r="H27" s="2"/>
      <c r="I27" s="8">
        <v>0</v>
      </c>
      <c r="J27" s="8">
        <v>0</v>
      </c>
      <c r="K27" s="4">
        <v>0</v>
      </c>
      <c r="L27" s="11">
        <f t="shared" si="2"/>
        <v>0</v>
      </c>
      <c r="M27" s="12">
        <v>1</v>
      </c>
      <c r="N27" s="12">
        <f t="shared" si="3"/>
        <v>0</v>
      </c>
      <c r="O27" s="5"/>
      <c r="P27" s="5"/>
    </row>
    <row r="28" spans="2:16" ht="13.8" x14ac:dyDescent="0.25">
      <c r="B28" s="1"/>
      <c r="C28" s="2"/>
      <c r="D28" s="2"/>
      <c r="E28" s="2"/>
      <c r="F28" s="69"/>
      <c r="G28" s="70"/>
      <c r="H28" s="2"/>
      <c r="I28" s="8">
        <v>0</v>
      </c>
      <c r="J28" s="8">
        <v>0</v>
      </c>
      <c r="K28" s="4">
        <v>0</v>
      </c>
      <c r="L28" s="11">
        <f t="shared" si="2"/>
        <v>0</v>
      </c>
      <c r="M28" s="12">
        <v>1</v>
      </c>
      <c r="N28" s="12">
        <f t="shared" si="3"/>
        <v>0</v>
      </c>
      <c r="O28" s="5"/>
      <c r="P28" s="5"/>
    </row>
    <row r="29" spans="2:16" ht="13.8" x14ac:dyDescent="0.25">
      <c r="B29" s="1"/>
      <c r="C29" s="2"/>
      <c r="D29" s="2"/>
      <c r="E29" s="2"/>
      <c r="F29" s="69"/>
      <c r="G29" s="70"/>
      <c r="H29" s="2"/>
      <c r="I29" s="8">
        <v>0</v>
      </c>
      <c r="J29" s="8">
        <v>0</v>
      </c>
      <c r="K29" s="4">
        <v>0</v>
      </c>
      <c r="L29" s="11">
        <f t="shared" si="2"/>
        <v>0</v>
      </c>
      <c r="M29" s="12">
        <v>1</v>
      </c>
      <c r="N29" s="12">
        <f t="shared" si="3"/>
        <v>0</v>
      </c>
      <c r="O29" s="5"/>
      <c r="P29" s="5"/>
    </row>
    <row r="30" spans="2:16" ht="13.8" x14ac:dyDescent="0.25">
      <c r="B30" s="1"/>
      <c r="C30" s="2"/>
      <c r="D30" s="2"/>
      <c r="E30" s="2"/>
      <c r="F30" s="69"/>
      <c r="G30" s="70"/>
      <c r="H30" s="2"/>
      <c r="I30" s="8">
        <v>0</v>
      </c>
      <c r="J30" s="8">
        <v>0</v>
      </c>
      <c r="K30" s="4">
        <v>0</v>
      </c>
      <c r="L30" s="11">
        <f t="shared" si="2"/>
        <v>0</v>
      </c>
      <c r="M30" s="12">
        <v>1</v>
      </c>
      <c r="N30" s="12">
        <f t="shared" si="3"/>
        <v>0</v>
      </c>
      <c r="O30" s="5"/>
      <c r="P30" s="5"/>
    </row>
    <row r="31" spans="2:16" ht="13.8" x14ac:dyDescent="0.25">
      <c r="B31" s="1"/>
      <c r="C31" s="2"/>
      <c r="D31" s="2"/>
      <c r="E31" s="2"/>
      <c r="F31" s="69"/>
      <c r="G31" s="70"/>
      <c r="H31" s="2"/>
      <c r="I31" s="8">
        <v>0</v>
      </c>
      <c r="J31" s="8">
        <v>0</v>
      </c>
      <c r="K31" s="4">
        <v>0</v>
      </c>
      <c r="L31" s="11">
        <f t="shared" si="2"/>
        <v>0</v>
      </c>
      <c r="M31" s="12">
        <v>1</v>
      </c>
      <c r="N31" s="12">
        <f t="shared" si="3"/>
        <v>0</v>
      </c>
      <c r="O31" s="5"/>
      <c r="P31" s="5"/>
    </row>
    <row r="32" spans="2:16" ht="13.8" x14ac:dyDescent="0.25">
      <c r="B32" s="1"/>
      <c r="C32" s="2"/>
      <c r="D32" s="2"/>
      <c r="E32" s="2"/>
      <c r="F32" s="69"/>
      <c r="G32" s="70"/>
      <c r="H32" s="2"/>
      <c r="I32" s="8">
        <v>0</v>
      </c>
      <c r="J32" s="8">
        <v>0</v>
      </c>
      <c r="K32" s="4">
        <v>0</v>
      </c>
      <c r="L32" s="11">
        <f t="shared" si="2"/>
        <v>0</v>
      </c>
      <c r="M32" s="12">
        <v>1</v>
      </c>
      <c r="N32" s="12">
        <f t="shared" si="3"/>
        <v>0</v>
      </c>
      <c r="O32" s="5"/>
      <c r="P32" s="5"/>
    </row>
    <row r="33" spans="2:16" ht="13.8" x14ac:dyDescent="0.25">
      <c r="B33" s="1"/>
      <c r="C33" s="2"/>
      <c r="D33" s="2"/>
      <c r="E33" s="2"/>
      <c r="F33" s="69"/>
      <c r="G33" s="70"/>
      <c r="H33" s="2"/>
      <c r="I33" s="8">
        <v>0</v>
      </c>
      <c r="J33" s="8">
        <v>0</v>
      </c>
      <c r="K33" s="4">
        <v>0</v>
      </c>
      <c r="L33" s="11">
        <f t="shared" si="2"/>
        <v>0</v>
      </c>
      <c r="M33" s="12">
        <v>1</v>
      </c>
      <c r="N33" s="12">
        <f t="shared" si="3"/>
        <v>0</v>
      </c>
      <c r="O33" s="5"/>
      <c r="P33" s="5"/>
    </row>
    <row r="34" spans="2:16" ht="13.8" x14ac:dyDescent="0.25">
      <c r="B34" s="1"/>
      <c r="C34" s="2"/>
      <c r="D34" s="2"/>
      <c r="E34" s="2"/>
      <c r="F34" s="69"/>
      <c r="G34" s="70"/>
      <c r="H34" s="2"/>
      <c r="I34" s="8">
        <v>0</v>
      </c>
      <c r="J34" s="8">
        <v>0</v>
      </c>
      <c r="K34" s="4">
        <v>0</v>
      </c>
      <c r="L34" s="11">
        <f t="shared" si="2"/>
        <v>0</v>
      </c>
      <c r="M34" s="12">
        <v>1</v>
      </c>
      <c r="N34" s="12">
        <f t="shared" si="3"/>
        <v>0</v>
      </c>
      <c r="O34" s="5"/>
      <c r="P34" s="5"/>
    </row>
    <row r="35" spans="2:16" ht="13.8" x14ac:dyDescent="0.25">
      <c r="B35" s="1"/>
      <c r="C35" s="2"/>
      <c r="D35" s="2"/>
      <c r="E35" s="2"/>
      <c r="F35" s="69"/>
      <c r="G35" s="70"/>
      <c r="H35" s="2"/>
      <c r="I35" s="8">
        <v>0</v>
      </c>
      <c r="J35" s="8">
        <v>0</v>
      </c>
      <c r="K35" s="4">
        <v>0</v>
      </c>
      <c r="L35" s="11">
        <f t="shared" si="2"/>
        <v>0</v>
      </c>
      <c r="M35" s="12">
        <v>1</v>
      </c>
      <c r="N35" s="12">
        <f t="shared" si="3"/>
        <v>0</v>
      </c>
      <c r="O35" s="5"/>
      <c r="P35" s="5"/>
    </row>
    <row r="36" spans="2:16" ht="13.8" x14ac:dyDescent="0.25">
      <c r="B36" s="1"/>
      <c r="C36" s="2"/>
      <c r="D36" s="2"/>
      <c r="E36" s="2"/>
      <c r="F36" s="69"/>
      <c r="G36" s="70"/>
      <c r="H36" s="2"/>
      <c r="I36" s="8">
        <v>0</v>
      </c>
      <c r="J36" s="8">
        <v>0</v>
      </c>
      <c r="K36" s="4">
        <v>0</v>
      </c>
      <c r="L36" s="11">
        <f t="shared" si="2"/>
        <v>0</v>
      </c>
      <c r="M36" s="12">
        <v>1</v>
      </c>
      <c r="N36" s="12">
        <f t="shared" si="3"/>
        <v>0</v>
      </c>
      <c r="O36" s="5"/>
      <c r="P36" s="5"/>
    </row>
    <row r="37" spans="2:16" ht="13.8" x14ac:dyDescent="0.25">
      <c r="B37" s="1"/>
      <c r="C37" s="2"/>
      <c r="D37" s="2"/>
      <c r="E37" s="2"/>
      <c r="F37" s="69"/>
      <c r="G37" s="70"/>
      <c r="H37" s="2"/>
      <c r="I37" s="8">
        <v>0</v>
      </c>
      <c r="J37" s="8">
        <v>0</v>
      </c>
      <c r="K37" s="4">
        <v>0</v>
      </c>
      <c r="L37" s="11">
        <f t="shared" si="2"/>
        <v>0</v>
      </c>
      <c r="M37" s="12">
        <v>1</v>
      </c>
      <c r="N37" s="12">
        <f t="shared" si="3"/>
        <v>0</v>
      </c>
      <c r="O37" s="5"/>
      <c r="P37" s="5"/>
    </row>
    <row r="38" spans="2:16" ht="13.8" x14ac:dyDescent="0.25">
      <c r="B38" s="1"/>
      <c r="C38" s="2"/>
      <c r="D38" s="2"/>
      <c r="E38" s="2"/>
      <c r="F38" s="69"/>
      <c r="G38" s="70"/>
      <c r="H38" s="2"/>
      <c r="I38" s="8">
        <v>0</v>
      </c>
      <c r="J38" s="8">
        <v>0</v>
      </c>
      <c r="K38" s="4">
        <v>0</v>
      </c>
      <c r="L38" s="11">
        <f t="shared" si="2"/>
        <v>0</v>
      </c>
      <c r="M38" s="12">
        <v>1</v>
      </c>
      <c r="N38" s="12">
        <f t="shared" si="3"/>
        <v>0</v>
      </c>
      <c r="O38" s="5"/>
      <c r="P38" s="5"/>
    </row>
    <row r="39" spans="2:16" ht="13.8" x14ac:dyDescent="0.25">
      <c r="B39" s="1"/>
      <c r="C39" s="2"/>
      <c r="D39" s="2"/>
      <c r="E39" s="2"/>
      <c r="F39" s="69"/>
      <c r="G39" s="70"/>
      <c r="H39" s="2"/>
      <c r="I39" s="8">
        <v>0</v>
      </c>
      <c r="J39" s="8">
        <v>0</v>
      </c>
      <c r="K39" s="4">
        <v>0</v>
      </c>
      <c r="L39" s="11">
        <f t="shared" si="2"/>
        <v>0</v>
      </c>
      <c r="M39" s="12">
        <v>1</v>
      </c>
      <c r="N39" s="12">
        <f t="shared" si="3"/>
        <v>0</v>
      </c>
      <c r="O39" s="5"/>
      <c r="P39" s="5"/>
    </row>
    <row r="40" spans="2:16" ht="13.8" x14ac:dyDescent="0.25">
      <c r="B40" s="1"/>
      <c r="C40" s="2"/>
      <c r="D40" s="2"/>
      <c r="E40" s="2"/>
      <c r="F40" s="69"/>
      <c r="G40" s="70"/>
      <c r="H40" s="2"/>
      <c r="I40" s="8">
        <v>0</v>
      </c>
      <c r="J40" s="8">
        <v>0</v>
      </c>
      <c r="K40" s="4">
        <v>0</v>
      </c>
      <c r="L40" s="11">
        <f t="shared" si="2"/>
        <v>0</v>
      </c>
      <c r="M40" s="12">
        <v>1</v>
      </c>
      <c r="N40" s="12">
        <f t="shared" si="3"/>
        <v>0</v>
      </c>
      <c r="O40" s="5"/>
      <c r="P40" s="5"/>
    </row>
    <row r="41" spans="2:16" ht="13.8" x14ac:dyDescent="0.25">
      <c r="B41" s="1"/>
      <c r="C41" s="2"/>
      <c r="D41" s="2"/>
      <c r="E41" s="2"/>
      <c r="F41" s="69"/>
      <c r="G41" s="70"/>
      <c r="H41" s="2"/>
      <c r="I41" s="8">
        <v>0</v>
      </c>
      <c r="J41" s="8">
        <v>0</v>
      </c>
      <c r="K41" s="4">
        <v>0</v>
      </c>
      <c r="L41" s="11">
        <f t="shared" si="2"/>
        <v>0</v>
      </c>
      <c r="M41" s="12">
        <v>1</v>
      </c>
      <c r="N41" s="12">
        <f t="shared" si="3"/>
        <v>0</v>
      </c>
      <c r="O41" s="5"/>
      <c r="P41" s="5"/>
    </row>
    <row r="42" spans="2:16" ht="13.8" x14ac:dyDescent="0.25">
      <c r="B42" s="1"/>
      <c r="C42" s="2"/>
      <c r="D42" s="2"/>
      <c r="E42" s="2"/>
      <c r="F42" s="69"/>
      <c r="G42" s="70"/>
      <c r="H42" s="2"/>
      <c r="I42" s="8">
        <v>0</v>
      </c>
      <c r="J42" s="8">
        <v>0</v>
      </c>
      <c r="K42" s="4">
        <v>0</v>
      </c>
      <c r="L42" s="11">
        <f t="shared" si="2"/>
        <v>0</v>
      </c>
      <c r="M42" s="12">
        <v>1</v>
      </c>
      <c r="N42" s="12">
        <f t="shared" si="3"/>
        <v>0</v>
      </c>
      <c r="O42" s="5"/>
      <c r="P42" s="5"/>
    </row>
    <row r="43" spans="2:16" ht="13.8" x14ac:dyDescent="0.25">
      <c r="B43" s="1"/>
      <c r="C43" s="2"/>
      <c r="D43" s="2"/>
      <c r="E43" s="2"/>
      <c r="F43" s="69"/>
      <c r="G43" s="70"/>
      <c r="H43" s="2"/>
      <c r="I43" s="8">
        <v>0</v>
      </c>
      <c r="J43" s="8">
        <v>0</v>
      </c>
      <c r="K43" s="4">
        <v>0</v>
      </c>
      <c r="L43" s="11">
        <f t="shared" si="2"/>
        <v>0</v>
      </c>
      <c r="M43" s="12">
        <v>1</v>
      </c>
      <c r="N43" s="12">
        <f t="shared" si="3"/>
        <v>0</v>
      </c>
      <c r="O43" s="5"/>
      <c r="P43" s="5"/>
    </row>
    <row r="44" spans="2:16" ht="13.8" x14ac:dyDescent="0.25">
      <c r="B44" s="1"/>
      <c r="C44" s="2"/>
      <c r="D44" s="2"/>
      <c r="E44" s="2"/>
      <c r="F44" s="69"/>
      <c r="G44" s="70"/>
      <c r="H44" s="2"/>
      <c r="I44" s="8">
        <v>0</v>
      </c>
      <c r="J44" s="8">
        <v>0</v>
      </c>
      <c r="K44" s="4">
        <v>0</v>
      </c>
      <c r="L44" s="11">
        <f t="shared" si="2"/>
        <v>0</v>
      </c>
      <c r="M44" s="12">
        <v>1</v>
      </c>
      <c r="N44" s="12">
        <f t="shared" si="3"/>
        <v>0</v>
      </c>
      <c r="O44" s="5"/>
      <c r="P44" s="5"/>
    </row>
    <row r="45" spans="2:16" ht="13.8" x14ac:dyDescent="0.25">
      <c r="B45" s="1"/>
      <c r="C45" s="2"/>
      <c r="D45" s="2"/>
      <c r="E45" s="2"/>
      <c r="F45" s="69"/>
      <c r="G45" s="70"/>
      <c r="H45" s="2"/>
      <c r="I45" s="8">
        <v>0</v>
      </c>
      <c r="J45" s="8">
        <v>0</v>
      </c>
      <c r="K45" s="4">
        <v>0</v>
      </c>
      <c r="L45" s="11">
        <f t="shared" si="2"/>
        <v>0</v>
      </c>
      <c r="M45" s="12">
        <v>1</v>
      </c>
      <c r="N45" s="12">
        <f t="shared" si="3"/>
        <v>0</v>
      </c>
      <c r="O45" s="5"/>
      <c r="P45" s="5"/>
    </row>
    <row r="46" spans="2:16" ht="13.8" x14ac:dyDescent="0.25">
      <c r="B46" s="1"/>
      <c r="C46" s="2"/>
      <c r="D46" s="2"/>
      <c r="E46" s="2"/>
      <c r="F46" s="69"/>
      <c r="G46" s="70"/>
      <c r="H46" s="2"/>
      <c r="I46" s="8">
        <v>0</v>
      </c>
      <c r="J46" s="8">
        <v>0</v>
      </c>
      <c r="K46" s="4">
        <v>0</v>
      </c>
      <c r="L46" s="11">
        <f t="shared" si="2"/>
        <v>0</v>
      </c>
      <c r="M46" s="12">
        <v>1</v>
      </c>
      <c r="N46" s="12">
        <f t="shared" si="3"/>
        <v>0</v>
      </c>
      <c r="O46" s="5"/>
      <c r="P46" s="5"/>
    </row>
    <row r="47" spans="2:16" ht="13.8" x14ac:dyDescent="0.25">
      <c r="B47" s="1"/>
      <c r="C47" s="2"/>
      <c r="D47" s="2"/>
      <c r="E47" s="2"/>
      <c r="F47" s="69"/>
      <c r="G47" s="70"/>
      <c r="H47" s="2"/>
      <c r="I47" s="8">
        <v>0</v>
      </c>
      <c r="J47" s="8">
        <v>0</v>
      </c>
      <c r="K47" s="4">
        <v>0</v>
      </c>
      <c r="L47" s="11">
        <f t="shared" si="2"/>
        <v>0</v>
      </c>
      <c r="M47" s="12">
        <v>1</v>
      </c>
      <c r="N47" s="12">
        <f t="shared" si="3"/>
        <v>0</v>
      </c>
      <c r="O47" s="5"/>
      <c r="P47" s="5"/>
    </row>
    <row r="48" spans="2:16" ht="13.8" x14ac:dyDescent="0.25">
      <c r="B48" s="1"/>
      <c r="C48" s="2"/>
      <c r="D48" s="2"/>
      <c r="E48" s="2"/>
      <c r="F48" s="69"/>
      <c r="G48" s="70"/>
      <c r="H48" s="2"/>
      <c r="I48" s="8">
        <v>0</v>
      </c>
      <c r="J48" s="8">
        <v>0</v>
      </c>
      <c r="K48" s="4">
        <v>0</v>
      </c>
      <c r="L48" s="11">
        <f t="shared" si="2"/>
        <v>0</v>
      </c>
      <c r="M48" s="12">
        <v>1</v>
      </c>
      <c r="N48" s="12">
        <f t="shared" si="3"/>
        <v>0</v>
      </c>
      <c r="O48" s="5"/>
      <c r="P48" s="5"/>
    </row>
    <row r="49" spans="2:16" ht="13.8" x14ac:dyDescent="0.25">
      <c r="B49" s="1"/>
      <c r="C49" s="2"/>
      <c r="D49" s="2"/>
      <c r="E49" s="2"/>
      <c r="F49" s="69"/>
      <c r="G49" s="70"/>
      <c r="H49" s="2"/>
      <c r="I49" s="8">
        <v>0</v>
      </c>
      <c r="J49" s="8">
        <v>0</v>
      </c>
      <c r="K49" s="4">
        <v>0</v>
      </c>
      <c r="L49" s="11">
        <f t="shared" si="2"/>
        <v>0</v>
      </c>
      <c r="M49" s="12">
        <v>1</v>
      </c>
      <c r="N49" s="12">
        <f t="shared" si="3"/>
        <v>0</v>
      </c>
      <c r="O49" s="5"/>
      <c r="P49" s="5"/>
    </row>
    <row r="50" spans="2:16" ht="13.8" x14ac:dyDescent="0.25">
      <c r="B50" s="1"/>
      <c r="C50" s="2"/>
      <c r="D50" s="2"/>
      <c r="E50" s="2"/>
      <c r="F50" s="69"/>
      <c r="G50" s="70"/>
      <c r="H50" s="2"/>
      <c r="I50" s="8">
        <v>0</v>
      </c>
      <c r="J50" s="8">
        <v>0</v>
      </c>
      <c r="K50" s="4">
        <v>0</v>
      </c>
      <c r="L50" s="11">
        <f t="shared" si="2"/>
        <v>0</v>
      </c>
      <c r="M50" s="12">
        <v>1</v>
      </c>
      <c r="N50" s="12">
        <f t="shared" si="3"/>
        <v>0</v>
      </c>
      <c r="O50" s="5"/>
      <c r="P50" s="5"/>
    </row>
    <row r="51" spans="2:16" ht="13.8" x14ac:dyDescent="0.25">
      <c r="B51" s="1"/>
      <c r="C51" s="2"/>
      <c r="D51" s="2"/>
      <c r="E51" s="2"/>
      <c r="F51" s="69"/>
      <c r="G51" s="70"/>
      <c r="H51" s="2"/>
      <c r="I51" s="8">
        <v>0</v>
      </c>
      <c r="J51" s="8">
        <v>0</v>
      </c>
      <c r="K51" s="4">
        <v>0</v>
      </c>
      <c r="L51" s="11">
        <f t="shared" si="2"/>
        <v>0</v>
      </c>
      <c r="M51" s="12">
        <v>1</v>
      </c>
      <c r="N51" s="12">
        <f t="shared" si="3"/>
        <v>0</v>
      </c>
      <c r="O51" s="5"/>
      <c r="P51" s="5"/>
    </row>
    <row r="52" spans="2:16" ht="13.8" x14ac:dyDescent="0.25">
      <c r="B52" s="1"/>
      <c r="C52" s="2"/>
      <c r="D52" s="2"/>
      <c r="E52" s="2"/>
      <c r="F52" s="69"/>
      <c r="G52" s="70"/>
      <c r="H52" s="2"/>
      <c r="I52" s="8">
        <v>0</v>
      </c>
      <c r="J52" s="8">
        <v>0</v>
      </c>
      <c r="K52" s="4">
        <v>0</v>
      </c>
      <c r="L52" s="11">
        <f t="shared" si="2"/>
        <v>0</v>
      </c>
      <c r="M52" s="12">
        <v>1</v>
      </c>
      <c r="N52" s="12">
        <f t="shared" si="3"/>
        <v>0</v>
      </c>
      <c r="O52" s="5"/>
      <c r="P52" s="5"/>
    </row>
    <row r="53" spans="2:16" ht="13.8" x14ac:dyDescent="0.25">
      <c r="B53" s="1"/>
      <c r="C53" s="2"/>
      <c r="D53" s="2"/>
      <c r="E53" s="2"/>
      <c r="F53" s="69"/>
      <c r="G53" s="70"/>
      <c r="H53" s="2"/>
      <c r="I53" s="8">
        <v>0</v>
      </c>
      <c r="J53" s="8">
        <v>0</v>
      </c>
      <c r="K53" s="4">
        <v>0</v>
      </c>
      <c r="L53" s="11">
        <f t="shared" si="2"/>
        <v>0</v>
      </c>
      <c r="M53" s="12">
        <v>1</v>
      </c>
      <c r="N53" s="12">
        <f t="shared" si="3"/>
        <v>0</v>
      </c>
      <c r="O53" s="5"/>
      <c r="P53" s="5"/>
    </row>
    <row r="54" spans="2:16" ht="13.8" x14ac:dyDescent="0.25">
      <c r="B54" s="1"/>
      <c r="C54" s="2"/>
      <c r="D54" s="2"/>
      <c r="E54" s="2"/>
      <c r="F54" s="69"/>
      <c r="G54" s="70"/>
      <c r="H54" s="2"/>
      <c r="I54" s="8">
        <v>0</v>
      </c>
      <c r="J54" s="8">
        <v>0</v>
      </c>
      <c r="K54" s="4">
        <v>0</v>
      </c>
      <c r="L54" s="11">
        <f t="shared" si="2"/>
        <v>0</v>
      </c>
      <c r="M54" s="12">
        <v>1</v>
      </c>
      <c r="N54" s="12">
        <f t="shared" si="3"/>
        <v>0</v>
      </c>
      <c r="O54" s="5"/>
      <c r="P54" s="5"/>
    </row>
    <row r="55" spans="2:16" ht="13.8" x14ac:dyDescent="0.25">
      <c r="B55" s="1"/>
      <c r="C55" s="2"/>
      <c r="D55" s="2"/>
      <c r="E55" s="2"/>
      <c r="F55" s="69"/>
      <c r="G55" s="70"/>
      <c r="H55" s="2"/>
      <c r="I55" s="8">
        <v>0</v>
      </c>
      <c r="J55" s="8">
        <v>0</v>
      </c>
      <c r="K55" s="4">
        <v>0</v>
      </c>
      <c r="L55" s="11">
        <f t="shared" si="2"/>
        <v>0</v>
      </c>
      <c r="M55" s="12">
        <v>1</v>
      </c>
      <c r="N55" s="12">
        <f t="shared" si="3"/>
        <v>0</v>
      </c>
      <c r="O55" s="5"/>
      <c r="P55" s="5"/>
    </row>
    <row r="56" spans="2:16" ht="13.8" x14ac:dyDescent="0.25">
      <c r="B56" s="1"/>
      <c r="C56" s="2"/>
      <c r="D56" s="2"/>
      <c r="E56" s="2"/>
      <c r="F56" s="69"/>
      <c r="G56" s="70"/>
      <c r="H56" s="2"/>
      <c r="I56" s="8">
        <v>0</v>
      </c>
      <c r="J56" s="8">
        <v>0</v>
      </c>
      <c r="K56" s="4">
        <v>0</v>
      </c>
      <c r="L56" s="11">
        <f t="shared" si="2"/>
        <v>0</v>
      </c>
      <c r="M56" s="12">
        <v>1</v>
      </c>
      <c r="N56" s="12">
        <f t="shared" si="3"/>
        <v>0</v>
      </c>
      <c r="O56" s="5"/>
      <c r="P56" s="5"/>
    </row>
    <row r="57" spans="2:16" ht="13.8" x14ac:dyDescent="0.25">
      <c r="B57" s="1"/>
      <c r="C57" s="2"/>
      <c r="D57" s="2"/>
      <c r="E57" s="2"/>
      <c r="F57" s="69"/>
      <c r="G57" s="70"/>
      <c r="H57" s="2"/>
      <c r="I57" s="8">
        <v>0</v>
      </c>
      <c r="J57" s="8">
        <v>0</v>
      </c>
      <c r="K57" s="4">
        <v>0</v>
      </c>
      <c r="L57" s="11">
        <f t="shared" si="2"/>
        <v>0</v>
      </c>
      <c r="M57" s="12">
        <v>1</v>
      </c>
      <c r="N57" s="12">
        <f t="shared" si="3"/>
        <v>0</v>
      </c>
      <c r="O57" s="5"/>
      <c r="P57" s="5"/>
    </row>
    <row r="58" spans="2:16" ht="13.8" x14ac:dyDescent="0.25">
      <c r="B58" s="1"/>
      <c r="C58" s="2"/>
      <c r="D58" s="2"/>
      <c r="E58" s="2"/>
      <c r="F58" s="69"/>
      <c r="G58" s="70"/>
      <c r="H58" s="2"/>
      <c r="I58" s="8">
        <v>0</v>
      </c>
      <c r="J58" s="8">
        <v>0</v>
      </c>
      <c r="K58" s="4">
        <v>0</v>
      </c>
      <c r="L58" s="11">
        <f t="shared" si="2"/>
        <v>0</v>
      </c>
      <c r="M58" s="12">
        <v>1</v>
      </c>
      <c r="N58" s="12">
        <f t="shared" si="3"/>
        <v>0</v>
      </c>
      <c r="O58" s="5"/>
      <c r="P58" s="5"/>
    </row>
    <row r="59" spans="2:16" ht="13.8" x14ac:dyDescent="0.25">
      <c r="B59" s="1"/>
      <c r="C59" s="2"/>
      <c r="D59" s="2"/>
      <c r="E59" s="2"/>
      <c r="F59" s="69"/>
      <c r="G59" s="70"/>
      <c r="H59" s="2"/>
      <c r="I59" s="8">
        <v>0</v>
      </c>
      <c r="J59" s="8">
        <v>0</v>
      </c>
      <c r="K59" s="4">
        <v>0</v>
      </c>
      <c r="L59" s="11">
        <f t="shared" si="2"/>
        <v>0</v>
      </c>
      <c r="M59" s="12">
        <v>1</v>
      </c>
      <c r="N59" s="12">
        <f t="shared" si="3"/>
        <v>0</v>
      </c>
      <c r="O59" s="5"/>
      <c r="P59" s="5"/>
    </row>
    <row r="60" spans="2:16" ht="13.8" x14ac:dyDescent="0.25">
      <c r="B60" s="1"/>
      <c r="C60" s="2"/>
      <c r="D60" s="2"/>
      <c r="E60" s="2"/>
      <c r="F60" s="69"/>
      <c r="G60" s="70"/>
      <c r="H60" s="2"/>
      <c r="I60" s="8">
        <v>0</v>
      </c>
      <c r="J60" s="8">
        <v>0</v>
      </c>
      <c r="K60" s="4">
        <v>0</v>
      </c>
      <c r="L60" s="11">
        <f t="shared" si="2"/>
        <v>0</v>
      </c>
      <c r="M60" s="12">
        <v>1</v>
      </c>
      <c r="N60" s="12">
        <f t="shared" si="3"/>
        <v>0</v>
      </c>
      <c r="O60" s="5"/>
      <c r="P60" s="5"/>
    </row>
    <row r="61" spans="2:16" ht="13.8" x14ac:dyDescent="0.25">
      <c r="B61" s="1"/>
      <c r="C61" s="2"/>
      <c r="D61" s="2"/>
      <c r="E61" s="2"/>
      <c r="F61" s="69"/>
      <c r="G61" s="70"/>
      <c r="H61" s="2"/>
      <c r="I61" s="8">
        <v>0</v>
      </c>
      <c r="J61" s="8">
        <v>0</v>
      </c>
      <c r="K61" s="4">
        <v>0</v>
      </c>
      <c r="L61" s="11">
        <f t="shared" si="2"/>
        <v>0</v>
      </c>
      <c r="M61" s="12">
        <v>1</v>
      </c>
      <c r="N61" s="12">
        <f t="shared" si="3"/>
        <v>0</v>
      </c>
      <c r="O61" s="5"/>
      <c r="P61" s="5"/>
    </row>
    <row r="62" spans="2:16" ht="13.8" x14ac:dyDescent="0.25">
      <c r="B62" s="1"/>
      <c r="C62" s="2"/>
      <c r="D62" s="2"/>
      <c r="E62" s="2"/>
      <c r="F62" s="69"/>
      <c r="G62" s="70"/>
      <c r="H62" s="2"/>
      <c r="I62" s="8">
        <v>0</v>
      </c>
      <c r="J62" s="8">
        <v>0</v>
      </c>
      <c r="K62" s="4">
        <v>0</v>
      </c>
      <c r="L62" s="11">
        <f t="shared" si="2"/>
        <v>0</v>
      </c>
      <c r="M62" s="12">
        <v>1</v>
      </c>
      <c r="N62" s="12">
        <f t="shared" si="3"/>
        <v>0</v>
      </c>
      <c r="O62" s="5"/>
      <c r="P62" s="5"/>
    </row>
    <row r="63" spans="2:16" ht="13.8" x14ac:dyDescent="0.25">
      <c r="B63" s="1"/>
      <c r="C63" s="2"/>
      <c r="D63" s="2"/>
      <c r="E63" s="2"/>
      <c r="F63" s="69"/>
      <c r="G63" s="70"/>
      <c r="H63" s="2"/>
      <c r="I63" s="8">
        <v>0</v>
      </c>
      <c r="J63" s="8">
        <v>0</v>
      </c>
      <c r="K63" s="4">
        <v>0</v>
      </c>
      <c r="L63" s="11">
        <f t="shared" si="2"/>
        <v>0</v>
      </c>
      <c r="M63" s="12">
        <v>1</v>
      </c>
      <c r="N63" s="12">
        <f t="shared" si="3"/>
        <v>0</v>
      </c>
      <c r="O63" s="5"/>
      <c r="P63" s="5"/>
    </row>
    <row r="64" spans="2:16" ht="13.8" x14ac:dyDescent="0.25">
      <c r="B64" s="1"/>
      <c r="C64" s="2"/>
      <c r="D64" s="2"/>
      <c r="E64" s="2"/>
      <c r="F64" s="69"/>
      <c r="G64" s="70"/>
      <c r="H64" s="2"/>
      <c r="I64" s="8">
        <v>0</v>
      </c>
      <c r="J64" s="8">
        <v>0</v>
      </c>
      <c r="K64" s="4">
        <v>0</v>
      </c>
      <c r="L64" s="11">
        <f t="shared" si="2"/>
        <v>0</v>
      </c>
      <c r="M64" s="12">
        <v>1</v>
      </c>
      <c r="N64" s="12">
        <f t="shared" si="3"/>
        <v>0</v>
      </c>
      <c r="O64" s="5"/>
      <c r="P64" s="5"/>
    </row>
    <row r="65" spans="2:16" ht="13.8" x14ac:dyDescent="0.25">
      <c r="B65" s="1"/>
      <c r="C65" s="2"/>
      <c r="D65" s="2"/>
      <c r="E65" s="2"/>
      <c r="F65" s="69"/>
      <c r="G65" s="70"/>
      <c r="H65" s="2"/>
      <c r="I65" s="8">
        <v>0</v>
      </c>
      <c r="J65" s="8">
        <v>0</v>
      </c>
      <c r="K65" s="4">
        <v>0</v>
      </c>
      <c r="L65" s="11">
        <f t="shared" si="2"/>
        <v>0</v>
      </c>
      <c r="M65" s="12">
        <v>1</v>
      </c>
      <c r="N65" s="12">
        <f t="shared" si="3"/>
        <v>0</v>
      </c>
      <c r="O65" s="5"/>
      <c r="P65" s="5"/>
    </row>
    <row r="66" spans="2:16" ht="13.8" x14ac:dyDescent="0.25">
      <c r="B66" s="1"/>
      <c r="C66" s="2"/>
      <c r="D66" s="2"/>
      <c r="E66" s="2"/>
      <c r="F66" s="69"/>
      <c r="G66" s="70"/>
      <c r="H66" s="2"/>
      <c r="I66" s="8">
        <v>0</v>
      </c>
      <c r="J66" s="8">
        <v>0</v>
      </c>
      <c r="K66" s="4">
        <v>0</v>
      </c>
      <c r="L66" s="11">
        <f t="shared" si="2"/>
        <v>0</v>
      </c>
      <c r="M66" s="12">
        <v>1</v>
      </c>
      <c r="N66" s="12">
        <f t="shared" si="3"/>
        <v>0</v>
      </c>
      <c r="O66" s="5"/>
      <c r="P66" s="5"/>
    </row>
    <row r="67" spans="2:16" ht="13.8" x14ac:dyDescent="0.25">
      <c r="B67" s="1"/>
      <c r="C67" s="2"/>
      <c r="D67" s="2"/>
      <c r="E67" s="2"/>
      <c r="F67" s="69"/>
      <c r="G67" s="70"/>
      <c r="H67" s="2"/>
      <c r="I67" s="8">
        <v>0</v>
      </c>
      <c r="J67" s="8">
        <v>0</v>
      </c>
      <c r="K67" s="4">
        <v>0</v>
      </c>
      <c r="L67" s="11">
        <f t="shared" si="2"/>
        <v>0</v>
      </c>
      <c r="M67" s="12">
        <v>1</v>
      </c>
      <c r="N67" s="12">
        <f t="shared" si="3"/>
        <v>0</v>
      </c>
      <c r="O67" s="5"/>
      <c r="P67" s="5"/>
    </row>
    <row r="68" spans="2:16" ht="13.8" x14ac:dyDescent="0.25">
      <c r="B68" s="1"/>
      <c r="C68" s="2"/>
      <c r="D68" s="2"/>
      <c r="E68" s="2"/>
      <c r="F68" s="69"/>
      <c r="G68" s="70"/>
      <c r="H68" s="2"/>
      <c r="I68" s="8">
        <v>0</v>
      </c>
      <c r="J68" s="8">
        <v>0</v>
      </c>
      <c r="K68" s="4">
        <v>0</v>
      </c>
      <c r="L68" s="11">
        <f t="shared" si="2"/>
        <v>0</v>
      </c>
      <c r="M68" s="12">
        <v>1</v>
      </c>
      <c r="N68" s="12">
        <f t="shared" si="3"/>
        <v>0</v>
      </c>
      <c r="O68" s="5"/>
      <c r="P68" s="5"/>
    </row>
    <row r="69" spans="2:16" ht="13.8" x14ac:dyDescent="0.25">
      <c r="B69" s="1"/>
      <c r="C69" s="2"/>
      <c r="D69" s="2"/>
      <c r="E69" s="2"/>
      <c r="F69" s="69"/>
      <c r="G69" s="70"/>
      <c r="H69" s="2"/>
      <c r="I69" s="8">
        <v>0</v>
      </c>
      <c r="J69" s="8">
        <v>0</v>
      </c>
      <c r="K69" s="4">
        <v>0</v>
      </c>
      <c r="L69" s="11">
        <f t="shared" si="2"/>
        <v>0</v>
      </c>
      <c r="M69" s="12">
        <v>1</v>
      </c>
      <c r="N69" s="12">
        <f t="shared" si="3"/>
        <v>0</v>
      </c>
      <c r="O69" s="5"/>
      <c r="P69" s="5"/>
    </row>
    <row r="70" spans="2:16" ht="13.8" x14ac:dyDescent="0.25">
      <c r="B70" s="1"/>
      <c r="C70" s="2"/>
      <c r="D70" s="2"/>
      <c r="E70" s="2"/>
      <c r="F70" s="69"/>
      <c r="G70" s="70"/>
      <c r="H70" s="2"/>
      <c r="I70" s="8">
        <v>0</v>
      </c>
      <c r="J70" s="8">
        <v>0</v>
      </c>
      <c r="K70" s="4">
        <v>0</v>
      </c>
      <c r="L70" s="11">
        <f t="shared" si="2"/>
        <v>0</v>
      </c>
      <c r="M70" s="12">
        <v>1</v>
      </c>
      <c r="N70" s="12">
        <f t="shared" si="3"/>
        <v>0</v>
      </c>
      <c r="O70" s="5"/>
      <c r="P70" s="5"/>
    </row>
    <row r="71" spans="2:16" ht="13.8" x14ac:dyDescent="0.25">
      <c r="B71" s="1"/>
      <c r="C71" s="2"/>
      <c r="D71" s="2"/>
      <c r="E71" s="2"/>
      <c r="F71" s="69"/>
      <c r="G71" s="70"/>
      <c r="H71" s="2"/>
      <c r="I71" s="8">
        <v>0</v>
      </c>
      <c r="J71" s="8">
        <v>0</v>
      </c>
      <c r="K71" s="4">
        <v>0</v>
      </c>
      <c r="L71" s="11">
        <f t="shared" si="2"/>
        <v>0</v>
      </c>
      <c r="M71" s="12">
        <v>1</v>
      </c>
      <c r="N71" s="12">
        <f t="shared" si="3"/>
        <v>0</v>
      </c>
      <c r="O71" s="5"/>
      <c r="P71" s="5"/>
    </row>
    <row r="72" spans="2:16" ht="13.8" x14ac:dyDescent="0.25">
      <c r="B72" s="1"/>
      <c r="C72" s="2"/>
      <c r="D72" s="2"/>
      <c r="E72" s="2"/>
      <c r="F72" s="69"/>
      <c r="G72" s="70"/>
      <c r="H72" s="2"/>
      <c r="I72" s="8">
        <v>0</v>
      </c>
      <c r="J72" s="8">
        <v>0</v>
      </c>
      <c r="K72" s="4">
        <v>0</v>
      </c>
      <c r="L72" s="11">
        <f t="shared" si="2"/>
        <v>0</v>
      </c>
      <c r="M72" s="12">
        <v>1</v>
      </c>
      <c r="N72" s="12">
        <f t="shared" si="3"/>
        <v>0</v>
      </c>
      <c r="O72" s="5"/>
      <c r="P72" s="5"/>
    </row>
    <row r="73" spans="2:16" ht="13.8" x14ac:dyDescent="0.25">
      <c r="B73" s="1"/>
      <c r="C73" s="2"/>
      <c r="D73" s="2"/>
      <c r="E73" s="2"/>
      <c r="F73" s="69"/>
      <c r="G73" s="70"/>
      <c r="H73" s="2"/>
      <c r="I73" s="8">
        <v>0</v>
      </c>
      <c r="J73" s="8">
        <v>0</v>
      </c>
      <c r="K73" s="4">
        <v>0</v>
      </c>
      <c r="L73" s="11">
        <f t="shared" si="2"/>
        <v>0</v>
      </c>
      <c r="M73" s="12">
        <v>1</v>
      </c>
      <c r="N73" s="12">
        <f t="shared" si="3"/>
        <v>0</v>
      </c>
      <c r="O73" s="5"/>
      <c r="P73" s="5"/>
    </row>
    <row r="74" spans="2:16" ht="13.8" x14ac:dyDescent="0.25">
      <c r="B74" s="1"/>
      <c r="C74" s="2"/>
      <c r="D74" s="2"/>
      <c r="E74" s="2"/>
      <c r="F74" s="69"/>
      <c r="G74" s="70"/>
      <c r="H74" s="2"/>
      <c r="I74" s="8">
        <v>0</v>
      </c>
      <c r="J74" s="8">
        <v>0</v>
      </c>
      <c r="K74" s="4">
        <v>0</v>
      </c>
      <c r="L74" s="11">
        <f t="shared" si="2"/>
        <v>0</v>
      </c>
      <c r="M74" s="12">
        <v>1</v>
      </c>
      <c r="N74" s="12">
        <f t="shared" si="3"/>
        <v>0</v>
      </c>
      <c r="O74" s="5"/>
      <c r="P74" s="5"/>
    </row>
    <row r="75" spans="2:16" ht="13.8" x14ac:dyDescent="0.25">
      <c r="B75" s="1"/>
      <c r="C75" s="2"/>
      <c r="D75" s="2"/>
      <c r="E75" s="2"/>
      <c r="F75" s="69"/>
      <c r="G75" s="70"/>
      <c r="H75" s="2"/>
      <c r="I75" s="8">
        <v>0</v>
      </c>
      <c r="J75" s="8">
        <v>0</v>
      </c>
      <c r="K75" s="4">
        <v>0</v>
      </c>
      <c r="L75" s="11">
        <f t="shared" si="2"/>
        <v>0</v>
      </c>
      <c r="M75" s="12">
        <v>1</v>
      </c>
      <c r="N75" s="12">
        <f t="shared" si="3"/>
        <v>0</v>
      </c>
      <c r="O75" s="5"/>
      <c r="P75" s="5"/>
    </row>
    <row r="76" spans="2:16" ht="13.8" x14ac:dyDescent="0.25">
      <c r="B76" s="1"/>
      <c r="C76" s="2"/>
      <c r="D76" s="2"/>
      <c r="E76" s="2"/>
      <c r="F76" s="69"/>
      <c r="G76" s="70"/>
      <c r="H76" s="2"/>
      <c r="I76" s="8">
        <v>0</v>
      </c>
      <c r="J76" s="8">
        <v>0</v>
      </c>
      <c r="K76" s="4">
        <v>0</v>
      </c>
      <c r="L76" s="11">
        <f t="shared" si="2"/>
        <v>0</v>
      </c>
      <c r="M76" s="12">
        <v>1</v>
      </c>
      <c r="N76" s="12">
        <f t="shared" si="3"/>
        <v>0</v>
      </c>
      <c r="O76" s="5"/>
      <c r="P76" s="5"/>
    </row>
    <row r="77" spans="2:16" ht="13.8" x14ac:dyDescent="0.25">
      <c r="B77" s="1"/>
      <c r="C77" s="2"/>
      <c r="D77" s="2"/>
      <c r="E77" s="2"/>
      <c r="F77" s="69"/>
      <c r="G77" s="70"/>
      <c r="H77" s="2"/>
      <c r="I77" s="8">
        <v>0</v>
      </c>
      <c r="J77" s="8">
        <v>0</v>
      </c>
      <c r="K77" s="4">
        <v>0</v>
      </c>
      <c r="L77" s="11">
        <f t="shared" si="2"/>
        <v>0</v>
      </c>
      <c r="M77" s="12">
        <v>1</v>
      </c>
      <c r="N77" s="12">
        <f t="shared" si="3"/>
        <v>0</v>
      </c>
      <c r="O77" s="5"/>
      <c r="P77" s="5"/>
    </row>
    <row r="78" spans="2:16" ht="13.8" x14ac:dyDescent="0.25">
      <c r="B78" s="1"/>
      <c r="C78" s="2"/>
      <c r="D78" s="2"/>
      <c r="E78" s="2"/>
      <c r="F78" s="69"/>
      <c r="G78" s="70"/>
      <c r="H78" s="2"/>
      <c r="I78" s="8">
        <v>0</v>
      </c>
      <c r="J78" s="8">
        <v>0</v>
      </c>
      <c r="K78" s="4">
        <v>0</v>
      </c>
      <c r="L78" s="11">
        <f t="shared" si="2"/>
        <v>0</v>
      </c>
      <c r="M78" s="12">
        <v>1</v>
      </c>
      <c r="N78" s="12">
        <f t="shared" si="3"/>
        <v>0</v>
      </c>
      <c r="O78" s="5"/>
      <c r="P78" s="5"/>
    </row>
    <row r="79" spans="2:16" ht="13.8" x14ac:dyDescent="0.25">
      <c r="B79" s="1"/>
      <c r="C79" s="2"/>
      <c r="D79" s="2"/>
      <c r="E79" s="2"/>
      <c r="F79" s="69"/>
      <c r="G79" s="70"/>
      <c r="H79" s="2"/>
      <c r="I79" s="8">
        <v>0</v>
      </c>
      <c r="J79" s="8">
        <v>0</v>
      </c>
      <c r="K79" s="4">
        <v>0</v>
      </c>
      <c r="L79" s="11">
        <f t="shared" si="2"/>
        <v>0</v>
      </c>
      <c r="M79" s="12">
        <v>1</v>
      </c>
      <c r="N79" s="12">
        <f t="shared" si="3"/>
        <v>0</v>
      </c>
      <c r="O79" s="5"/>
      <c r="P79" s="5"/>
    </row>
    <row r="80" spans="2:16" ht="13.8" x14ac:dyDescent="0.25">
      <c r="B80" s="1"/>
      <c r="C80" s="2"/>
      <c r="D80" s="2"/>
      <c r="E80" s="2"/>
      <c r="F80" s="69"/>
      <c r="G80" s="70"/>
      <c r="H80" s="2"/>
      <c r="I80" s="8">
        <v>0</v>
      </c>
      <c r="J80" s="8">
        <v>0</v>
      </c>
      <c r="K80" s="4">
        <v>0</v>
      </c>
      <c r="L80" s="11">
        <f t="shared" ref="L80:L98" si="4">((J80-I80+(J80&lt;I80))*1440)-K80</f>
        <v>0</v>
      </c>
      <c r="M80" s="12">
        <v>1</v>
      </c>
      <c r="N80" s="12">
        <f t="shared" ref="N80:N98" si="5">L80/M80</f>
        <v>0</v>
      </c>
      <c r="O80" s="5"/>
      <c r="P80" s="5"/>
    </row>
    <row r="81" spans="2:16" ht="13.8" x14ac:dyDescent="0.25">
      <c r="B81" s="1"/>
      <c r="C81" s="2"/>
      <c r="D81" s="2"/>
      <c r="E81" s="2"/>
      <c r="F81" s="69"/>
      <c r="G81" s="70"/>
      <c r="H81" s="2"/>
      <c r="I81" s="8">
        <v>0</v>
      </c>
      <c r="J81" s="8">
        <v>0</v>
      </c>
      <c r="K81" s="4">
        <v>0</v>
      </c>
      <c r="L81" s="11">
        <f t="shared" si="4"/>
        <v>0</v>
      </c>
      <c r="M81" s="12">
        <v>1</v>
      </c>
      <c r="N81" s="12">
        <f t="shared" si="5"/>
        <v>0</v>
      </c>
      <c r="O81" s="5"/>
      <c r="P81" s="5"/>
    </row>
    <row r="82" spans="2:16" ht="13.8" x14ac:dyDescent="0.25">
      <c r="B82" s="1"/>
      <c r="C82" s="2"/>
      <c r="D82" s="2"/>
      <c r="E82" s="2"/>
      <c r="F82" s="69"/>
      <c r="G82" s="70"/>
      <c r="H82" s="2"/>
      <c r="I82" s="8">
        <v>0</v>
      </c>
      <c r="J82" s="8">
        <v>0</v>
      </c>
      <c r="K82" s="4">
        <v>0</v>
      </c>
      <c r="L82" s="11">
        <f t="shared" si="4"/>
        <v>0</v>
      </c>
      <c r="M82" s="12">
        <v>1</v>
      </c>
      <c r="N82" s="12">
        <f t="shared" si="5"/>
        <v>0</v>
      </c>
      <c r="O82" s="5"/>
      <c r="P82" s="5"/>
    </row>
    <row r="83" spans="2:16" ht="13.8" x14ac:dyDescent="0.25">
      <c r="B83" s="1"/>
      <c r="C83" s="2"/>
      <c r="D83" s="2"/>
      <c r="E83" s="2"/>
      <c r="F83" s="69"/>
      <c r="G83" s="70"/>
      <c r="H83" s="2"/>
      <c r="I83" s="8">
        <v>0</v>
      </c>
      <c r="J83" s="8">
        <v>0</v>
      </c>
      <c r="K83" s="4">
        <v>0</v>
      </c>
      <c r="L83" s="11">
        <f t="shared" si="4"/>
        <v>0</v>
      </c>
      <c r="M83" s="12">
        <v>1</v>
      </c>
      <c r="N83" s="12">
        <f t="shared" si="5"/>
        <v>0</v>
      </c>
      <c r="O83" s="5"/>
      <c r="P83" s="5"/>
    </row>
    <row r="84" spans="2:16" ht="13.8" x14ac:dyDescent="0.25">
      <c r="B84" s="1"/>
      <c r="C84" s="2"/>
      <c r="D84" s="2"/>
      <c r="E84" s="2"/>
      <c r="F84" s="69"/>
      <c r="G84" s="70"/>
      <c r="H84" s="2"/>
      <c r="I84" s="8">
        <v>0</v>
      </c>
      <c r="J84" s="8">
        <v>0</v>
      </c>
      <c r="K84" s="4">
        <v>0</v>
      </c>
      <c r="L84" s="11">
        <f t="shared" si="4"/>
        <v>0</v>
      </c>
      <c r="M84" s="12">
        <v>1</v>
      </c>
      <c r="N84" s="12">
        <f t="shared" si="5"/>
        <v>0</v>
      </c>
      <c r="O84" s="5"/>
      <c r="P84" s="5"/>
    </row>
    <row r="85" spans="2:16" ht="13.8" x14ac:dyDescent="0.25">
      <c r="B85" s="1"/>
      <c r="C85" s="2"/>
      <c r="D85" s="2"/>
      <c r="E85" s="2"/>
      <c r="F85" s="69"/>
      <c r="G85" s="70"/>
      <c r="H85" s="2"/>
      <c r="I85" s="8">
        <v>0</v>
      </c>
      <c r="J85" s="8">
        <v>0</v>
      </c>
      <c r="K85" s="4">
        <v>0</v>
      </c>
      <c r="L85" s="11">
        <f t="shared" si="4"/>
        <v>0</v>
      </c>
      <c r="M85" s="12">
        <v>1</v>
      </c>
      <c r="N85" s="12">
        <f t="shared" si="5"/>
        <v>0</v>
      </c>
      <c r="O85" s="5"/>
      <c r="P85" s="5"/>
    </row>
    <row r="86" spans="2:16" ht="13.8" x14ac:dyDescent="0.25">
      <c r="B86" s="1"/>
      <c r="C86" s="2"/>
      <c r="D86" s="2"/>
      <c r="E86" s="2"/>
      <c r="F86" s="69"/>
      <c r="G86" s="70"/>
      <c r="H86" s="2"/>
      <c r="I86" s="8">
        <v>0</v>
      </c>
      <c r="J86" s="8">
        <v>0</v>
      </c>
      <c r="K86" s="4">
        <v>0</v>
      </c>
      <c r="L86" s="11">
        <f t="shared" si="4"/>
        <v>0</v>
      </c>
      <c r="M86" s="12">
        <v>1</v>
      </c>
      <c r="N86" s="12">
        <f t="shared" si="5"/>
        <v>0</v>
      </c>
      <c r="O86" s="5"/>
      <c r="P86" s="5"/>
    </row>
    <row r="87" spans="2:16" ht="13.8" x14ac:dyDescent="0.25">
      <c r="B87" s="1"/>
      <c r="C87" s="2"/>
      <c r="D87" s="2"/>
      <c r="E87" s="2"/>
      <c r="F87" s="69"/>
      <c r="G87" s="70"/>
      <c r="H87" s="2"/>
      <c r="I87" s="8">
        <v>0</v>
      </c>
      <c r="J87" s="8">
        <v>0</v>
      </c>
      <c r="K87" s="4">
        <v>0</v>
      </c>
      <c r="L87" s="11">
        <f t="shared" si="4"/>
        <v>0</v>
      </c>
      <c r="M87" s="12">
        <v>1</v>
      </c>
      <c r="N87" s="12">
        <f t="shared" si="5"/>
        <v>0</v>
      </c>
      <c r="O87" s="5"/>
      <c r="P87" s="5"/>
    </row>
    <row r="88" spans="2:16" ht="13.8" x14ac:dyDescent="0.25">
      <c r="B88" s="1"/>
      <c r="C88" s="2"/>
      <c r="D88" s="2"/>
      <c r="E88" s="2"/>
      <c r="F88" s="69"/>
      <c r="G88" s="70"/>
      <c r="H88" s="2"/>
      <c r="I88" s="8">
        <v>0</v>
      </c>
      <c r="J88" s="8">
        <v>0</v>
      </c>
      <c r="K88" s="4">
        <v>0</v>
      </c>
      <c r="L88" s="11">
        <f t="shared" si="4"/>
        <v>0</v>
      </c>
      <c r="M88" s="12">
        <v>1</v>
      </c>
      <c r="N88" s="12">
        <f t="shared" si="5"/>
        <v>0</v>
      </c>
      <c r="O88" s="5"/>
      <c r="P88" s="5"/>
    </row>
    <row r="89" spans="2:16" ht="13.8" x14ac:dyDescent="0.25">
      <c r="B89" s="1"/>
      <c r="C89" s="2"/>
      <c r="D89" s="2"/>
      <c r="E89" s="2"/>
      <c r="F89" s="69"/>
      <c r="G89" s="70"/>
      <c r="H89" s="2"/>
      <c r="I89" s="8">
        <v>0</v>
      </c>
      <c r="J89" s="8">
        <v>0</v>
      </c>
      <c r="K89" s="4">
        <v>0</v>
      </c>
      <c r="L89" s="11">
        <f t="shared" si="4"/>
        <v>0</v>
      </c>
      <c r="M89" s="12">
        <v>1</v>
      </c>
      <c r="N89" s="12">
        <f t="shared" si="5"/>
        <v>0</v>
      </c>
      <c r="O89" s="5"/>
      <c r="P89" s="5"/>
    </row>
    <row r="90" spans="2:16" ht="13.8" x14ac:dyDescent="0.25">
      <c r="B90" s="1"/>
      <c r="C90" s="2"/>
      <c r="D90" s="2"/>
      <c r="E90" s="2"/>
      <c r="F90" s="69"/>
      <c r="G90" s="70"/>
      <c r="H90" s="2"/>
      <c r="I90" s="8">
        <v>0</v>
      </c>
      <c r="J90" s="8">
        <v>0</v>
      </c>
      <c r="K90" s="4">
        <v>0</v>
      </c>
      <c r="L90" s="11">
        <f t="shared" si="4"/>
        <v>0</v>
      </c>
      <c r="M90" s="12">
        <v>1</v>
      </c>
      <c r="N90" s="12">
        <f t="shared" si="5"/>
        <v>0</v>
      </c>
      <c r="O90" s="5"/>
      <c r="P90" s="5"/>
    </row>
    <row r="91" spans="2:16" ht="13.8" x14ac:dyDescent="0.25">
      <c r="B91" s="1"/>
      <c r="C91" s="2"/>
      <c r="D91" s="2"/>
      <c r="E91" s="2"/>
      <c r="F91" s="69"/>
      <c r="G91" s="70"/>
      <c r="H91" s="2"/>
      <c r="I91" s="8">
        <v>0</v>
      </c>
      <c r="J91" s="8">
        <v>0</v>
      </c>
      <c r="K91" s="4">
        <v>0</v>
      </c>
      <c r="L91" s="11">
        <f t="shared" si="4"/>
        <v>0</v>
      </c>
      <c r="M91" s="12">
        <v>1</v>
      </c>
      <c r="N91" s="12">
        <f t="shared" si="5"/>
        <v>0</v>
      </c>
      <c r="O91" s="5"/>
      <c r="P91" s="5"/>
    </row>
    <row r="92" spans="2:16" ht="13.8" x14ac:dyDescent="0.25">
      <c r="B92" s="1"/>
      <c r="C92" s="2"/>
      <c r="D92" s="2"/>
      <c r="E92" s="2"/>
      <c r="F92" s="69"/>
      <c r="G92" s="70"/>
      <c r="H92" s="2"/>
      <c r="I92" s="8">
        <v>0</v>
      </c>
      <c r="J92" s="8">
        <v>0</v>
      </c>
      <c r="K92" s="4">
        <v>0</v>
      </c>
      <c r="L92" s="11">
        <f t="shared" si="4"/>
        <v>0</v>
      </c>
      <c r="M92" s="12">
        <v>1</v>
      </c>
      <c r="N92" s="12">
        <f t="shared" si="5"/>
        <v>0</v>
      </c>
      <c r="O92" s="5"/>
      <c r="P92" s="5"/>
    </row>
    <row r="93" spans="2:16" ht="13.8" x14ac:dyDescent="0.25">
      <c r="B93" s="1"/>
      <c r="C93" s="2"/>
      <c r="D93" s="2"/>
      <c r="E93" s="2"/>
      <c r="F93" s="69"/>
      <c r="G93" s="70"/>
      <c r="H93" s="2"/>
      <c r="I93" s="8">
        <v>0</v>
      </c>
      <c r="J93" s="8">
        <v>0</v>
      </c>
      <c r="K93" s="4">
        <v>0</v>
      </c>
      <c r="L93" s="11">
        <f t="shared" si="4"/>
        <v>0</v>
      </c>
      <c r="M93" s="12">
        <v>1</v>
      </c>
      <c r="N93" s="12">
        <f t="shared" si="5"/>
        <v>0</v>
      </c>
      <c r="O93" s="5"/>
      <c r="P93" s="5"/>
    </row>
    <row r="94" spans="2:16" ht="13.8" x14ac:dyDescent="0.25">
      <c r="B94" s="1"/>
      <c r="C94" s="2"/>
      <c r="D94" s="2"/>
      <c r="E94" s="2"/>
      <c r="F94" s="69"/>
      <c r="G94" s="70"/>
      <c r="H94" s="2"/>
      <c r="I94" s="8">
        <v>0</v>
      </c>
      <c r="J94" s="8">
        <v>0</v>
      </c>
      <c r="K94" s="4">
        <v>0</v>
      </c>
      <c r="L94" s="11">
        <f t="shared" si="4"/>
        <v>0</v>
      </c>
      <c r="M94" s="12">
        <v>1</v>
      </c>
      <c r="N94" s="12">
        <f t="shared" si="5"/>
        <v>0</v>
      </c>
      <c r="O94" s="5"/>
      <c r="P94" s="5"/>
    </row>
    <row r="95" spans="2:16" ht="13.8" x14ac:dyDescent="0.25">
      <c r="B95" s="1"/>
      <c r="C95" s="2"/>
      <c r="D95" s="2"/>
      <c r="E95" s="2"/>
      <c r="F95" s="69"/>
      <c r="G95" s="70"/>
      <c r="H95" s="2"/>
      <c r="I95" s="8">
        <v>0</v>
      </c>
      <c r="J95" s="8">
        <v>0</v>
      </c>
      <c r="K95" s="4">
        <v>0</v>
      </c>
      <c r="L95" s="11">
        <f t="shared" si="4"/>
        <v>0</v>
      </c>
      <c r="M95" s="12">
        <v>1</v>
      </c>
      <c r="N95" s="12">
        <f t="shared" si="5"/>
        <v>0</v>
      </c>
      <c r="O95" s="5"/>
      <c r="P95" s="5"/>
    </row>
    <row r="96" spans="2:16" ht="13.8" x14ac:dyDescent="0.25">
      <c r="B96" s="1"/>
      <c r="C96" s="2"/>
      <c r="D96" s="2"/>
      <c r="E96" s="2"/>
      <c r="F96" s="69"/>
      <c r="G96" s="70"/>
      <c r="H96" s="2"/>
      <c r="I96" s="8">
        <v>0</v>
      </c>
      <c r="J96" s="8">
        <v>0</v>
      </c>
      <c r="K96" s="4">
        <v>0</v>
      </c>
      <c r="L96" s="11">
        <f t="shared" si="4"/>
        <v>0</v>
      </c>
      <c r="M96" s="12">
        <v>1</v>
      </c>
      <c r="N96" s="12">
        <f t="shared" si="5"/>
        <v>0</v>
      </c>
      <c r="O96" s="5"/>
      <c r="P96" s="5"/>
    </row>
    <row r="97" spans="2:16" ht="13.8" x14ac:dyDescent="0.25">
      <c r="B97" s="1"/>
      <c r="C97" s="2"/>
      <c r="D97" s="2"/>
      <c r="E97" s="2"/>
      <c r="F97" s="69"/>
      <c r="G97" s="70"/>
      <c r="H97" s="2"/>
      <c r="I97" s="8">
        <v>0</v>
      </c>
      <c r="J97" s="8">
        <v>0</v>
      </c>
      <c r="K97" s="4">
        <v>0</v>
      </c>
      <c r="L97" s="11">
        <f t="shared" si="4"/>
        <v>0</v>
      </c>
      <c r="M97" s="12">
        <v>1</v>
      </c>
      <c r="N97" s="12">
        <f t="shared" si="5"/>
        <v>0</v>
      </c>
      <c r="O97" s="5"/>
      <c r="P97" s="5"/>
    </row>
    <row r="98" spans="2:16" ht="13.8" x14ac:dyDescent="0.25">
      <c r="B98" s="1"/>
      <c r="C98" s="2"/>
      <c r="D98" s="2"/>
      <c r="E98" s="2"/>
      <c r="F98" s="69"/>
      <c r="G98" s="70"/>
      <c r="H98" s="2"/>
      <c r="I98" s="8">
        <v>0</v>
      </c>
      <c r="J98" s="8">
        <v>0</v>
      </c>
      <c r="K98" s="4">
        <v>0</v>
      </c>
      <c r="L98" s="11">
        <f t="shared" si="4"/>
        <v>0</v>
      </c>
      <c r="M98" s="12">
        <v>1</v>
      </c>
      <c r="N98" s="12">
        <f t="shared" si="5"/>
        <v>0</v>
      </c>
      <c r="O98" s="5"/>
      <c r="P98" s="5"/>
    </row>
  </sheetData>
  <mergeCells count="112">
    <mergeCell ref="F15:G15"/>
    <mergeCell ref="F9:G9"/>
    <mergeCell ref="F11:G11"/>
    <mergeCell ref="F12:G12"/>
    <mergeCell ref="F13:G13"/>
    <mergeCell ref="F14:G14"/>
    <mergeCell ref="F10:G10"/>
    <mergeCell ref="B1:C2"/>
    <mergeCell ref="D1:N2"/>
    <mergeCell ref="O1:P1"/>
    <mergeCell ref="O2:P2"/>
    <mergeCell ref="B3:H3"/>
    <mergeCell ref="I3:N3"/>
    <mergeCell ref="O3:P3"/>
    <mergeCell ref="B7:B9"/>
    <mergeCell ref="O5:O6"/>
    <mergeCell ref="P5:P6"/>
    <mergeCell ref="F7:G7"/>
    <mergeCell ref="F8:G8"/>
    <mergeCell ref="B4:N4"/>
    <mergeCell ref="O4:P4"/>
    <mergeCell ref="B5:B6"/>
    <mergeCell ref="C5:C6"/>
    <mergeCell ref="D5:D6"/>
    <mergeCell ref="E5:E6"/>
    <mergeCell ref="F5:G6"/>
    <mergeCell ref="H5:H6"/>
    <mergeCell ref="I5:K5"/>
    <mergeCell ref="L5:N5"/>
    <mergeCell ref="F21:G21"/>
    <mergeCell ref="F22:G22"/>
    <mergeCell ref="F23:G23"/>
    <mergeCell ref="F24:G24"/>
    <mergeCell ref="F25:G25"/>
    <mergeCell ref="F16:G16"/>
    <mergeCell ref="F17:G17"/>
    <mergeCell ref="F18:G18"/>
    <mergeCell ref="F19:G19"/>
    <mergeCell ref="F20:G20"/>
    <mergeCell ref="F31:G31"/>
    <mergeCell ref="F32:G32"/>
    <mergeCell ref="F33:G33"/>
    <mergeCell ref="F34:G34"/>
    <mergeCell ref="F35:G35"/>
    <mergeCell ref="F26:G26"/>
    <mergeCell ref="F27:G27"/>
    <mergeCell ref="F28:G28"/>
    <mergeCell ref="F29:G29"/>
    <mergeCell ref="F30:G30"/>
    <mergeCell ref="F41:G41"/>
    <mergeCell ref="F42:G42"/>
    <mergeCell ref="F43:G43"/>
    <mergeCell ref="F44:G44"/>
    <mergeCell ref="F45:G45"/>
    <mergeCell ref="F36:G36"/>
    <mergeCell ref="F37:G37"/>
    <mergeCell ref="F38:G38"/>
    <mergeCell ref="F39:G39"/>
    <mergeCell ref="F40:G40"/>
    <mergeCell ref="F51:G51"/>
    <mergeCell ref="F52:G52"/>
    <mergeCell ref="F53:G53"/>
    <mergeCell ref="F54:G54"/>
    <mergeCell ref="F55:G55"/>
    <mergeCell ref="F46:G46"/>
    <mergeCell ref="F47:G47"/>
    <mergeCell ref="F48:G48"/>
    <mergeCell ref="F49:G49"/>
    <mergeCell ref="F50:G50"/>
    <mergeCell ref="F61:G61"/>
    <mergeCell ref="F62:G62"/>
    <mergeCell ref="F63:G63"/>
    <mergeCell ref="F64:G64"/>
    <mergeCell ref="F65:G65"/>
    <mergeCell ref="F56:G56"/>
    <mergeCell ref="F57:G57"/>
    <mergeCell ref="F58:G58"/>
    <mergeCell ref="F59:G59"/>
    <mergeCell ref="F60:G60"/>
    <mergeCell ref="F71:G71"/>
    <mergeCell ref="F72:G72"/>
    <mergeCell ref="F73:G73"/>
    <mergeCell ref="F74:G74"/>
    <mergeCell ref="F75:G75"/>
    <mergeCell ref="F66:G66"/>
    <mergeCell ref="F67:G67"/>
    <mergeCell ref="F68:G68"/>
    <mergeCell ref="F69:G69"/>
    <mergeCell ref="F70:G70"/>
    <mergeCell ref="F81:G81"/>
    <mergeCell ref="F82:G82"/>
    <mergeCell ref="F83:G83"/>
    <mergeCell ref="F84:G84"/>
    <mergeCell ref="F85:G85"/>
    <mergeCell ref="F76:G76"/>
    <mergeCell ref="F77:G77"/>
    <mergeCell ref="F78:G78"/>
    <mergeCell ref="F79:G79"/>
    <mergeCell ref="F80:G80"/>
    <mergeCell ref="F96:G96"/>
    <mergeCell ref="F97:G97"/>
    <mergeCell ref="F98:G98"/>
    <mergeCell ref="F91:G91"/>
    <mergeCell ref="F92:G92"/>
    <mergeCell ref="F93:G93"/>
    <mergeCell ref="F94:G94"/>
    <mergeCell ref="F95:G95"/>
    <mergeCell ref="F86:G86"/>
    <mergeCell ref="F87:G87"/>
    <mergeCell ref="F88:G88"/>
    <mergeCell ref="F89:G89"/>
    <mergeCell ref="F90:G90"/>
  </mergeCells>
  <phoneticPr fontId="12" type="noConversion"/>
  <pageMargins left="0.19685039370078741" right="0" top="0.19685039370078741" bottom="0" header="0" footer="0"/>
  <pageSetup paperSize="9" scale="61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9CEB-74D6-4E9B-B6AD-2FFB8B407AF6}">
  <sheetPr>
    <pageSetUpPr fitToPage="1"/>
  </sheetPr>
  <dimension ref="B1:P63"/>
  <sheetViews>
    <sheetView topLeftCell="A10" zoomScale="120" zoomScaleNormal="120" workbookViewId="0">
      <selection activeCell="B24" sqref="B24"/>
    </sheetView>
  </sheetViews>
  <sheetFormatPr baseColWidth="10" defaultColWidth="8.88671875" defaultRowHeight="13.2" x14ac:dyDescent="0.25"/>
  <cols>
    <col min="1" max="1" width="2.109375" customWidth="1"/>
    <col min="2" max="2" width="11.77734375" customWidth="1"/>
    <col min="3" max="3" width="17.5546875" customWidth="1"/>
    <col min="4" max="4" width="17.6640625" customWidth="1"/>
    <col min="5" max="5" width="15.21875" customWidth="1"/>
    <col min="6" max="6" width="14.6640625" customWidth="1"/>
    <col min="7" max="7" width="16" customWidth="1"/>
    <col min="8" max="8" width="28.44140625" customWidth="1"/>
    <col min="9" max="10" width="17.109375" customWidth="1"/>
    <col min="11" max="11" width="17.33203125" customWidth="1"/>
    <col min="12" max="12" width="16.33203125" customWidth="1"/>
    <col min="13" max="13" width="13.77734375" customWidth="1"/>
    <col min="14" max="14" width="14.77734375" customWidth="1"/>
    <col min="15" max="15" width="22.44140625" customWidth="1"/>
    <col min="16" max="16" width="17.33203125" customWidth="1"/>
  </cols>
  <sheetData>
    <row r="1" spans="2:16" ht="18" customHeight="1" x14ac:dyDescent="0.25">
      <c r="B1" s="80"/>
      <c r="C1" s="80"/>
      <c r="D1" s="82" t="s">
        <v>18</v>
      </c>
      <c r="E1" s="82"/>
      <c r="F1" s="82"/>
      <c r="G1" s="82"/>
      <c r="H1" s="82"/>
      <c r="I1" s="82"/>
      <c r="J1" s="82"/>
      <c r="K1" s="82"/>
      <c r="L1" s="82"/>
      <c r="M1" s="82"/>
      <c r="N1" s="82"/>
      <c r="O1" s="75" t="s">
        <v>21</v>
      </c>
      <c r="P1" s="76"/>
    </row>
    <row r="2" spans="2:16" ht="19.2" customHeight="1" x14ac:dyDescent="0.25">
      <c r="B2" s="81"/>
      <c r="C2" s="81"/>
      <c r="D2" s="83"/>
      <c r="E2" s="83"/>
      <c r="F2" s="83"/>
      <c r="G2" s="83"/>
      <c r="H2" s="83"/>
      <c r="I2" s="84"/>
      <c r="J2" s="84"/>
      <c r="K2" s="84"/>
      <c r="L2" s="84"/>
      <c r="M2" s="84"/>
      <c r="N2" s="84"/>
      <c r="O2" s="76" t="s">
        <v>0</v>
      </c>
      <c r="P2" s="76"/>
    </row>
    <row r="3" spans="2:16" ht="12.6" customHeight="1" x14ac:dyDescent="0.25">
      <c r="B3" s="79" t="s">
        <v>9</v>
      </c>
      <c r="C3" s="79"/>
      <c r="D3" s="79"/>
      <c r="E3" s="79"/>
      <c r="F3" s="79"/>
      <c r="G3" s="79"/>
      <c r="H3" s="79"/>
      <c r="I3" s="77" t="s">
        <v>10</v>
      </c>
      <c r="J3" s="78"/>
      <c r="K3" s="78"/>
      <c r="L3" s="78"/>
      <c r="M3" s="78"/>
      <c r="N3" s="78"/>
      <c r="O3" s="75" t="s">
        <v>19</v>
      </c>
      <c r="P3" s="76"/>
    </row>
    <row r="4" spans="2:16" ht="10.199999999999999" customHeight="1" x14ac:dyDescent="0.25">
      <c r="B4" s="86" t="s">
        <v>17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75" t="s">
        <v>20</v>
      </c>
      <c r="P4" s="76"/>
    </row>
    <row r="5" spans="2:16" ht="15.45" customHeight="1" x14ac:dyDescent="0.25">
      <c r="B5" s="91" t="s">
        <v>1</v>
      </c>
      <c r="C5" s="91" t="s">
        <v>3</v>
      </c>
      <c r="D5" s="91" t="s">
        <v>4</v>
      </c>
      <c r="E5" s="91" t="s">
        <v>2</v>
      </c>
      <c r="F5" s="100" t="s">
        <v>15</v>
      </c>
      <c r="G5" s="101"/>
      <c r="H5" s="91" t="s">
        <v>22</v>
      </c>
      <c r="I5" s="93" t="s">
        <v>16</v>
      </c>
      <c r="J5" s="94"/>
      <c r="K5" s="95"/>
      <c r="L5" s="96" t="s">
        <v>6</v>
      </c>
      <c r="M5" s="97"/>
      <c r="N5" s="98"/>
      <c r="O5" s="99" t="s">
        <v>5</v>
      </c>
      <c r="P5" s="99" t="s">
        <v>14</v>
      </c>
    </row>
    <row r="6" spans="2:16" ht="25.8" customHeight="1" x14ac:dyDescent="0.25">
      <c r="B6" s="92"/>
      <c r="C6" s="92"/>
      <c r="D6" s="92"/>
      <c r="E6" s="92"/>
      <c r="F6" s="102"/>
      <c r="G6" s="103"/>
      <c r="H6" s="92"/>
      <c r="I6" s="6" t="s">
        <v>7</v>
      </c>
      <c r="J6" s="6" t="s">
        <v>8</v>
      </c>
      <c r="K6" s="6" t="s">
        <v>11</v>
      </c>
      <c r="L6" s="7" t="s">
        <v>13</v>
      </c>
      <c r="M6" s="7" t="s">
        <v>23</v>
      </c>
      <c r="N6" s="7" t="s">
        <v>12</v>
      </c>
      <c r="O6" s="99"/>
      <c r="P6" s="99"/>
    </row>
    <row r="7" spans="2:16" ht="30" customHeight="1" x14ac:dyDescent="0.25">
      <c r="B7" s="88">
        <v>46098</v>
      </c>
      <c r="C7" s="2" t="s">
        <v>32</v>
      </c>
      <c r="D7" s="2" t="s">
        <v>33</v>
      </c>
      <c r="E7" s="2" t="s">
        <v>75</v>
      </c>
      <c r="F7" s="85" t="s">
        <v>78</v>
      </c>
      <c r="G7" s="85"/>
      <c r="H7" s="2">
        <v>2</v>
      </c>
      <c r="I7" s="8">
        <v>0.29166666666666669</v>
      </c>
      <c r="J7" s="8">
        <v>0.52777777777777779</v>
      </c>
      <c r="K7" s="4">
        <v>20</v>
      </c>
      <c r="L7" s="11">
        <f>((J7-I7+(J7&lt;I7))*1440)-K7</f>
        <v>320</v>
      </c>
      <c r="M7" s="12">
        <v>2</v>
      </c>
      <c r="N7" s="12">
        <f>L7/M7</f>
        <v>160</v>
      </c>
      <c r="O7" s="5"/>
      <c r="P7" s="5"/>
    </row>
    <row r="8" spans="2:16" ht="30" customHeight="1" x14ac:dyDescent="0.25">
      <c r="B8" s="114"/>
      <c r="C8" s="2" t="s">
        <v>32</v>
      </c>
      <c r="D8" s="2" t="s">
        <v>33</v>
      </c>
      <c r="E8" s="2" t="s">
        <v>76</v>
      </c>
      <c r="F8" s="85" t="s">
        <v>79</v>
      </c>
      <c r="G8" s="85"/>
      <c r="H8" s="2">
        <v>2</v>
      </c>
      <c r="I8" s="8">
        <v>0.52777777777777779</v>
      </c>
      <c r="J8" s="8">
        <v>0.56944444444444442</v>
      </c>
      <c r="K8" s="4">
        <v>40</v>
      </c>
      <c r="L8" s="11">
        <f t="shared" ref="L8:L15" si="0">((J8-I8+(J8&lt;I8))*1440)-K8</f>
        <v>19.999999999999943</v>
      </c>
      <c r="M8" s="12">
        <v>2</v>
      </c>
      <c r="N8" s="12">
        <f t="shared" ref="N8:N15" si="1">L8/M8</f>
        <v>9.9999999999999716</v>
      </c>
      <c r="O8" s="5"/>
      <c r="P8" s="5"/>
    </row>
    <row r="9" spans="2:16" ht="30" customHeight="1" x14ac:dyDescent="0.25">
      <c r="B9" s="123"/>
      <c r="C9" s="2" t="s">
        <v>32</v>
      </c>
      <c r="D9" s="2" t="s">
        <v>33</v>
      </c>
      <c r="E9" s="2" t="s">
        <v>77</v>
      </c>
      <c r="F9" s="85" t="s">
        <v>80</v>
      </c>
      <c r="G9" s="85"/>
      <c r="H9" s="2">
        <v>2</v>
      </c>
      <c r="I9" s="8">
        <v>0.56944444444444442</v>
      </c>
      <c r="J9" s="8">
        <v>0.65625</v>
      </c>
      <c r="K9" s="4">
        <v>15</v>
      </c>
      <c r="L9" s="11">
        <f t="shared" si="0"/>
        <v>110.00000000000003</v>
      </c>
      <c r="M9" s="12">
        <v>2</v>
      </c>
      <c r="N9" s="12">
        <f t="shared" si="1"/>
        <v>55.000000000000014</v>
      </c>
      <c r="O9" s="5"/>
      <c r="P9" s="5"/>
    </row>
    <row r="10" spans="2:16" ht="30" customHeight="1" x14ac:dyDescent="0.25">
      <c r="B10" s="1"/>
      <c r="C10" s="2"/>
      <c r="D10" s="2"/>
      <c r="E10" s="2"/>
      <c r="F10" s="85"/>
      <c r="G10" s="85"/>
      <c r="H10" s="2"/>
      <c r="I10" s="8">
        <v>0</v>
      </c>
      <c r="J10" s="8">
        <v>0</v>
      </c>
      <c r="K10" s="4">
        <v>0</v>
      </c>
      <c r="L10" s="11">
        <f t="shared" si="0"/>
        <v>0</v>
      </c>
      <c r="M10" s="12">
        <v>1</v>
      </c>
      <c r="N10" s="12">
        <f t="shared" si="1"/>
        <v>0</v>
      </c>
      <c r="O10" s="5"/>
      <c r="P10" s="5"/>
    </row>
    <row r="11" spans="2:16" ht="30" customHeight="1" x14ac:dyDescent="0.25">
      <c r="B11" s="1"/>
      <c r="C11" s="2"/>
      <c r="D11" s="2"/>
      <c r="E11" s="2"/>
      <c r="F11" s="85"/>
      <c r="G11" s="85"/>
      <c r="H11" s="2"/>
      <c r="I11" s="8">
        <v>0</v>
      </c>
      <c r="J11" s="8">
        <v>0</v>
      </c>
      <c r="K11" s="4">
        <v>0</v>
      </c>
      <c r="L11" s="11">
        <f t="shared" si="0"/>
        <v>0</v>
      </c>
      <c r="M11" s="12">
        <v>1</v>
      </c>
      <c r="N11" s="12">
        <f t="shared" si="1"/>
        <v>0</v>
      </c>
      <c r="O11" s="5"/>
      <c r="P11" s="5"/>
    </row>
    <row r="12" spans="2:16" ht="30" customHeight="1" x14ac:dyDescent="0.25">
      <c r="B12" s="1"/>
      <c r="C12" s="2"/>
      <c r="D12" s="2"/>
      <c r="E12" s="2"/>
      <c r="F12" s="85"/>
      <c r="G12" s="85"/>
      <c r="H12" s="2"/>
      <c r="I12" s="8">
        <v>0</v>
      </c>
      <c r="J12" s="8">
        <v>0</v>
      </c>
      <c r="K12" s="4">
        <v>0</v>
      </c>
      <c r="L12" s="11">
        <f t="shared" si="0"/>
        <v>0</v>
      </c>
      <c r="M12" s="12">
        <v>1</v>
      </c>
      <c r="N12" s="12">
        <f t="shared" si="1"/>
        <v>0</v>
      </c>
      <c r="O12" s="5"/>
      <c r="P12" s="5"/>
    </row>
    <row r="13" spans="2:16" ht="30" customHeight="1" x14ac:dyDescent="0.25">
      <c r="B13" s="1"/>
      <c r="C13" s="2"/>
      <c r="D13" s="2"/>
      <c r="E13" s="2"/>
      <c r="F13" s="69"/>
      <c r="G13" s="70"/>
      <c r="H13" s="2"/>
      <c r="I13" s="8">
        <v>0</v>
      </c>
      <c r="J13" s="8">
        <v>0</v>
      </c>
      <c r="K13" s="4">
        <v>0</v>
      </c>
      <c r="L13" s="11">
        <f t="shared" si="0"/>
        <v>0</v>
      </c>
      <c r="M13" s="12">
        <v>1</v>
      </c>
      <c r="N13" s="12">
        <f t="shared" si="1"/>
        <v>0</v>
      </c>
      <c r="O13" s="5"/>
      <c r="P13" s="5"/>
    </row>
    <row r="14" spans="2:16" ht="30" customHeight="1" x14ac:dyDescent="0.25">
      <c r="B14" s="1"/>
      <c r="C14" s="2"/>
      <c r="D14" s="2"/>
      <c r="E14" s="2"/>
      <c r="F14" s="69"/>
      <c r="G14" s="70"/>
      <c r="H14" s="2"/>
      <c r="I14" s="8">
        <v>0</v>
      </c>
      <c r="J14" s="8">
        <v>0</v>
      </c>
      <c r="K14" s="4">
        <v>0</v>
      </c>
      <c r="L14" s="11">
        <f t="shared" si="0"/>
        <v>0</v>
      </c>
      <c r="M14" s="12">
        <v>1</v>
      </c>
      <c r="N14" s="12">
        <f t="shared" si="1"/>
        <v>0</v>
      </c>
      <c r="O14" s="5"/>
      <c r="P14" s="5"/>
    </row>
    <row r="15" spans="2:16" ht="30" customHeight="1" x14ac:dyDescent="0.25">
      <c r="B15" s="1"/>
      <c r="C15" s="2"/>
      <c r="D15" s="2"/>
      <c r="E15" s="2"/>
      <c r="F15" s="69"/>
      <c r="G15" s="70"/>
      <c r="H15" s="2"/>
      <c r="I15" s="8">
        <v>0</v>
      </c>
      <c r="J15" s="8">
        <v>0</v>
      </c>
      <c r="K15" s="4">
        <v>0</v>
      </c>
      <c r="L15" s="11">
        <f t="shared" si="0"/>
        <v>0</v>
      </c>
      <c r="M15" s="12">
        <v>1</v>
      </c>
      <c r="N15" s="12">
        <f t="shared" si="1"/>
        <v>0</v>
      </c>
      <c r="O15" s="5"/>
      <c r="P15" s="5"/>
    </row>
    <row r="16" spans="2:16" ht="13.8" x14ac:dyDescent="0.25">
      <c r="B16" s="1">
        <v>46107</v>
      </c>
      <c r="C16" s="2" t="s">
        <v>46</v>
      </c>
      <c r="D16" s="2" t="s">
        <v>33</v>
      </c>
      <c r="E16" s="2" t="s">
        <v>177</v>
      </c>
      <c r="F16" s="69" t="s">
        <v>178</v>
      </c>
      <c r="G16" s="70"/>
      <c r="H16" s="2">
        <v>84</v>
      </c>
      <c r="I16" s="8">
        <v>0.39583333333333331</v>
      </c>
      <c r="J16" s="8">
        <v>0.44444444444444442</v>
      </c>
      <c r="K16" s="4">
        <v>10</v>
      </c>
      <c r="L16" s="11">
        <f t="shared" ref="L16:L63" si="2">((J16-I16+(J16&lt;I16))*1440)-K16</f>
        <v>59.999999999999986</v>
      </c>
      <c r="M16" s="12">
        <v>1</v>
      </c>
      <c r="N16" s="12">
        <f t="shared" ref="N16:N63" si="3">L16/M16</f>
        <v>59.999999999999986</v>
      </c>
      <c r="O16" s="5"/>
      <c r="P16" s="5"/>
    </row>
    <row r="17" spans="2:16" ht="14.4" thickBot="1" x14ac:dyDescent="0.3">
      <c r="B17" s="43"/>
      <c r="C17" s="17"/>
      <c r="D17" s="17" t="s">
        <v>33</v>
      </c>
      <c r="E17" s="17" t="s">
        <v>179</v>
      </c>
      <c r="F17" s="104" t="s">
        <v>180</v>
      </c>
      <c r="G17" s="105"/>
      <c r="H17" s="17">
        <v>1</v>
      </c>
      <c r="I17" s="18">
        <v>0.44444444444444442</v>
      </c>
      <c r="J17" s="18">
        <v>0.66666666666666663</v>
      </c>
      <c r="K17" s="19">
        <v>0</v>
      </c>
      <c r="L17" s="20">
        <f t="shared" si="2"/>
        <v>320</v>
      </c>
      <c r="M17" s="21">
        <v>1</v>
      </c>
      <c r="N17" s="21">
        <f t="shared" si="3"/>
        <v>320</v>
      </c>
      <c r="O17" s="22"/>
      <c r="P17" s="22"/>
    </row>
    <row r="18" spans="2:16" ht="14.4" thickBot="1" x14ac:dyDescent="0.3">
      <c r="B18" s="44">
        <v>46108</v>
      </c>
      <c r="C18" s="45" t="s">
        <v>46</v>
      </c>
      <c r="D18" s="45" t="s">
        <v>33</v>
      </c>
      <c r="E18" s="45" t="s">
        <v>77</v>
      </c>
      <c r="F18" s="121" t="s">
        <v>181</v>
      </c>
      <c r="G18" s="122"/>
      <c r="H18" s="45">
        <v>1</v>
      </c>
      <c r="I18" s="48">
        <v>0.39583333333333331</v>
      </c>
      <c r="J18" s="48">
        <v>0.625</v>
      </c>
      <c r="K18" s="47">
        <v>0</v>
      </c>
      <c r="L18" s="49">
        <f t="shared" si="2"/>
        <v>330</v>
      </c>
      <c r="M18" s="50">
        <v>1</v>
      </c>
      <c r="N18" s="50">
        <f t="shared" si="3"/>
        <v>330</v>
      </c>
      <c r="O18" s="51" t="s">
        <v>182</v>
      </c>
      <c r="P18" s="52"/>
    </row>
    <row r="19" spans="2:16" ht="14.4" thickBot="1" x14ac:dyDescent="0.3">
      <c r="B19" s="53">
        <v>46111</v>
      </c>
      <c r="C19" s="54" t="s">
        <v>46</v>
      </c>
      <c r="D19" s="54" t="s">
        <v>33</v>
      </c>
      <c r="E19" s="54" t="s">
        <v>179</v>
      </c>
      <c r="F19" s="111" t="s">
        <v>183</v>
      </c>
      <c r="G19" s="112"/>
      <c r="H19" s="54">
        <v>1</v>
      </c>
      <c r="I19" s="56">
        <v>0.29166666666666669</v>
      </c>
      <c r="J19" s="56">
        <v>0.66666666666666663</v>
      </c>
      <c r="K19" s="55">
        <v>10</v>
      </c>
      <c r="L19" s="57">
        <f t="shared" si="2"/>
        <v>529.99999999999989</v>
      </c>
      <c r="M19" s="58">
        <v>1</v>
      </c>
      <c r="N19" s="58">
        <f t="shared" si="3"/>
        <v>529.99999999999989</v>
      </c>
      <c r="O19" s="59"/>
      <c r="P19" s="60"/>
    </row>
    <row r="20" spans="2:16" ht="13.8" x14ac:dyDescent="0.25">
      <c r="B20" s="66">
        <v>46112</v>
      </c>
      <c r="C20" s="113" t="s">
        <v>186</v>
      </c>
      <c r="D20" s="28"/>
      <c r="E20" s="28" t="s">
        <v>184</v>
      </c>
      <c r="F20" s="71" t="s">
        <v>185</v>
      </c>
      <c r="G20" s="72"/>
      <c r="H20" s="28">
        <v>1</v>
      </c>
      <c r="I20" s="30">
        <v>0.29166666666666669</v>
      </c>
      <c r="J20" s="30">
        <v>0.51388888888888895</v>
      </c>
      <c r="K20" s="29">
        <f>5+10</f>
        <v>15</v>
      </c>
      <c r="L20" s="31">
        <f t="shared" si="2"/>
        <v>305.00000000000006</v>
      </c>
      <c r="M20" s="32">
        <v>1</v>
      </c>
      <c r="N20" s="32">
        <f t="shared" si="3"/>
        <v>305.00000000000006</v>
      </c>
      <c r="O20" s="33"/>
      <c r="P20" s="34"/>
    </row>
    <row r="21" spans="2:16" ht="14.4" thickBot="1" x14ac:dyDescent="0.3">
      <c r="B21" s="68"/>
      <c r="C21" s="115"/>
      <c r="D21" s="36"/>
      <c r="E21" s="36" t="s">
        <v>179</v>
      </c>
      <c r="F21" s="73" t="s">
        <v>180</v>
      </c>
      <c r="G21" s="74"/>
      <c r="H21" s="36">
        <v>1</v>
      </c>
      <c r="I21" s="38">
        <v>0.51388888888888895</v>
      </c>
      <c r="J21" s="38">
        <v>0.66666666666666663</v>
      </c>
      <c r="K21" s="37">
        <v>10</v>
      </c>
      <c r="L21" s="39">
        <f t="shared" si="2"/>
        <v>209.99999999999986</v>
      </c>
      <c r="M21" s="40">
        <v>1</v>
      </c>
      <c r="N21" s="40">
        <f t="shared" si="3"/>
        <v>209.99999999999986</v>
      </c>
      <c r="O21" s="41"/>
      <c r="P21" s="42"/>
    </row>
    <row r="22" spans="2:16" ht="14.4" thickBot="1" x14ac:dyDescent="0.3">
      <c r="B22" s="53">
        <v>46113</v>
      </c>
      <c r="C22" s="54" t="s">
        <v>186</v>
      </c>
      <c r="D22" s="54" t="s">
        <v>33</v>
      </c>
      <c r="E22" s="54" t="s">
        <v>179</v>
      </c>
      <c r="F22" s="111" t="s">
        <v>181</v>
      </c>
      <c r="G22" s="112"/>
      <c r="H22" s="54">
        <v>1</v>
      </c>
      <c r="I22" s="56">
        <v>0.29166666666666669</v>
      </c>
      <c r="J22" s="56">
        <v>0.66666666666666663</v>
      </c>
      <c r="K22" s="55">
        <v>10</v>
      </c>
      <c r="L22" s="57">
        <f t="shared" si="2"/>
        <v>529.99999999999989</v>
      </c>
      <c r="M22" s="58">
        <v>1</v>
      </c>
      <c r="N22" s="58">
        <f t="shared" si="3"/>
        <v>529.99999999999989</v>
      </c>
      <c r="O22" s="59"/>
      <c r="P22" s="60"/>
    </row>
    <row r="23" spans="2:16" ht="14.4" thickBot="1" x14ac:dyDescent="0.3">
      <c r="B23" s="53">
        <v>46118</v>
      </c>
      <c r="C23" s="54" t="s">
        <v>186</v>
      </c>
      <c r="D23" s="54" t="s">
        <v>33</v>
      </c>
      <c r="E23" s="54" t="s">
        <v>184</v>
      </c>
      <c r="F23" s="111" t="s">
        <v>185</v>
      </c>
      <c r="G23" s="112"/>
      <c r="H23" s="54">
        <v>1</v>
      </c>
      <c r="I23" s="56">
        <v>0.29166666666666669</v>
      </c>
      <c r="J23" s="56">
        <v>0.66666666666666663</v>
      </c>
      <c r="K23" s="55">
        <v>10</v>
      </c>
      <c r="L23" s="57">
        <f t="shared" si="2"/>
        <v>529.99999999999989</v>
      </c>
      <c r="M23" s="58">
        <v>1</v>
      </c>
      <c r="N23" s="58">
        <f t="shared" si="3"/>
        <v>529.99999999999989</v>
      </c>
      <c r="O23" s="59"/>
      <c r="P23" s="60"/>
    </row>
    <row r="24" spans="2:16" ht="13.8" x14ac:dyDescent="0.25">
      <c r="B24" s="15"/>
      <c r="C24" s="16"/>
      <c r="D24" s="16"/>
      <c r="E24" s="16"/>
      <c r="F24" s="106"/>
      <c r="G24" s="107"/>
      <c r="H24" s="16"/>
      <c r="I24" s="24">
        <v>0</v>
      </c>
      <c r="J24" s="24">
        <v>0</v>
      </c>
      <c r="K24" s="23">
        <v>0</v>
      </c>
      <c r="L24" s="25">
        <f t="shared" si="2"/>
        <v>0</v>
      </c>
      <c r="M24" s="26">
        <v>1</v>
      </c>
      <c r="N24" s="26">
        <f t="shared" si="3"/>
        <v>0</v>
      </c>
      <c r="O24" s="27"/>
      <c r="P24" s="27"/>
    </row>
    <row r="25" spans="2:16" ht="13.8" x14ac:dyDescent="0.25">
      <c r="B25" s="1"/>
      <c r="C25" s="2"/>
      <c r="D25" s="2"/>
      <c r="E25" s="2"/>
      <c r="F25" s="69"/>
      <c r="G25" s="70"/>
      <c r="H25" s="2"/>
      <c r="I25" s="8">
        <v>0</v>
      </c>
      <c r="J25" s="8">
        <v>0</v>
      </c>
      <c r="K25" s="4">
        <v>0</v>
      </c>
      <c r="L25" s="11">
        <f t="shared" si="2"/>
        <v>0</v>
      </c>
      <c r="M25" s="12">
        <v>1</v>
      </c>
      <c r="N25" s="12">
        <f t="shared" si="3"/>
        <v>0</v>
      </c>
      <c r="O25" s="5"/>
      <c r="P25" s="5"/>
    </row>
    <row r="26" spans="2:16" ht="13.8" x14ac:dyDescent="0.25">
      <c r="B26" s="1"/>
      <c r="C26" s="2"/>
      <c r="D26" s="2"/>
      <c r="E26" s="2"/>
      <c r="F26" s="69"/>
      <c r="G26" s="70"/>
      <c r="H26" s="2"/>
      <c r="I26" s="8">
        <v>0</v>
      </c>
      <c r="J26" s="8">
        <v>0</v>
      </c>
      <c r="K26" s="4">
        <v>0</v>
      </c>
      <c r="L26" s="11">
        <f t="shared" si="2"/>
        <v>0</v>
      </c>
      <c r="M26" s="12">
        <v>1</v>
      </c>
      <c r="N26" s="12">
        <f t="shared" si="3"/>
        <v>0</v>
      </c>
      <c r="O26" s="5"/>
      <c r="P26" s="5"/>
    </row>
    <row r="27" spans="2:16" ht="13.8" x14ac:dyDescent="0.25">
      <c r="B27" s="1"/>
      <c r="C27" s="2"/>
      <c r="D27" s="2"/>
      <c r="E27" s="2"/>
      <c r="F27" s="69"/>
      <c r="G27" s="70"/>
      <c r="H27" s="2"/>
      <c r="I27" s="8">
        <v>0</v>
      </c>
      <c r="J27" s="8">
        <v>0</v>
      </c>
      <c r="K27" s="4">
        <v>0</v>
      </c>
      <c r="L27" s="11">
        <f t="shared" si="2"/>
        <v>0</v>
      </c>
      <c r="M27" s="12">
        <v>1</v>
      </c>
      <c r="N27" s="12">
        <f t="shared" si="3"/>
        <v>0</v>
      </c>
      <c r="O27" s="5"/>
      <c r="P27" s="5"/>
    </row>
    <row r="28" spans="2:16" ht="13.8" x14ac:dyDescent="0.25">
      <c r="B28" s="1"/>
      <c r="C28" s="2"/>
      <c r="D28" s="2"/>
      <c r="E28" s="2"/>
      <c r="F28" s="69"/>
      <c r="G28" s="70"/>
      <c r="H28" s="2"/>
      <c r="I28" s="8">
        <v>0</v>
      </c>
      <c r="J28" s="8">
        <v>0</v>
      </c>
      <c r="K28" s="4">
        <v>0</v>
      </c>
      <c r="L28" s="11">
        <f t="shared" si="2"/>
        <v>0</v>
      </c>
      <c r="M28" s="12">
        <v>1</v>
      </c>
      <c r="N28" s="12">
        <f t="shared" si="3"/>
        <v>0</v>
      </c>
      <c r="O28" s="5"/>
      <c r="P28" s="5"/>
    </row>
    <row r="29" spans="2:16" ht="13.8" x14ac:dyDescent="0.25">
      <c r="B29" s="1"/>
      <c r="C29" s="2"/>
      <c r="D29" s="2"/>
      <c r="E29" s="2"/>
      <c r="F29" s="69"/>
      <c r="G29" s="70"/>
      <c r="H29" s="2"/>
      <c r="I29" s="8">
        <v>0</v>
      </c>
      <c r="J29" s="8">
        <v>0</v>
      </c>
      <c r="K29" s="4">
        <v>0</v>
      </c>
      <c r="L29" s="11">
        <f t="shared" si="2"/>
        <v>0</v>
      </c>
      <c r="M29" s="12">
        <v>1</v>
      </c>
      <c r="N29" s="12">
        <f t="shared" si="3"/>
        <v>0</v>
      </c>
      <c r="O29" s="5"/>
      <c r="P29" s="5"/>
    </row>
    <row r="30" spans="2:16" ht="13.8" x14ac:dyDescent="0.25">
      <c r="B30" s="1"/>
      <c r="C30" s="2"/>
      <c r="D30" s="2"/>
      <c r="E30" s="2"/>
      <c r="F30" s="69"/>
      <c r="G30" s="70"/>
      <c r="H30" s="2"/>
      <c r="I30" s="8">
        <v>0</v>
      </c>
      <c r="J30" s="8">
        <v>0</v>
      </c>
      <c r="K30" s="4">
        <v>0</v>
      </c>
      <c r="L30" s="11">
        <f t="shared" si="2"/>
        <v>0</v>
      </c>
      <c r="M30" s="12">
        <v>1</v>
      </c>
      <c r="N30" s="12">
        <f t="shared" si="3"/>
        <v>0</v>
      </c>
      <c r="O30" s="5"/>
      <c r="P30" s="5"/>
    </row>
    <row r="31" spans="2:16" ht="13.8" x14ac:dyDescent="0.25">
      <c r="B31" s="1"/>
      <c r="C31" s="2"/>
      <c r="D31" s="2"/>
      <c r="E31" s="2"/>
      <c r="F31" s="69"/>
      <c r="G31" s="70"/>
      <c r="H31" s="2"/>
      <c r="I31" s="8">
        <v>0</v>
      </c>
      <c r="J31" s="8">
        <v>0</v>
      </c>
      <c r="K31" s="4">
        <v>0</v>
      </c>
      <c r="L31" s="11">
        <f t="shared" si="2"/>
        <v>0</v>
      </c>
      <c r="M31" s="12">
        <v>1</v>
      </c>
      <c r="N31" s="12">
        <f t="shared" si="3"/>
        <v>0</v>
      </c>
      <c r="O31" s="5"/>
      <c r="P31" s="5"/>
    </row>
    <row r="32" spans="2:16" ht="13.8" x14ac:dyDescent="0.25">
      <c r="B32" s="1"/>
      <c r="C32" s="2"/>
      <c r="D32" s="2"/>
      <c r="E32" s="2"/>
      <c r="F32" s="69"/>
      <c r="G32" s="70"/>
      <c r="H32" s="2"/>
      <c r="I32" s="8">
        <v>0</v>
      </c>
      <c r="J32" s="8">
        <v>0</v>
      </c>
      <c r="K32" s="4">
        <v>0</v>
      </c>
      <c r="L32" s="11">
        <f t="shared" si="2"/>
        <v>0</v>
      </c>
      <c r="M32" s="12">
        <v>1</v>
      </c>
      <c r="N32" s="12">
        <f t="shared" si="3"/>
        <v>0</v>
      </c>
      <c r="O32" s="5"/>
      <c r="P32" s="5"/>
    </row>
    <row r="33" spans="2:16" ht="13.8" x14ac:dyDescent="0.25">
      <c r="B33" s="1"/>
      <c r="C33" s="2"/>
      <c r="D33" s="2"/>
      <c r="E33" s="2"/>
      <c r="F33" s="69"/>
      <c r="G33" s="70"/>
      <c r="H33" s="2"/>
      <c r="I33" s="8">
        <v>0</v>
      </c>
      <c r="J33" s="8">
        <v>0</v>
      </c>
      <c r="K33" s="4">
        <v>0</v>
      </c>
      <c r="L33" s="11">
        <f t="shared" si="2"/>
        <v>0</v>
      </c>
      <c r="M33" s="12">
        <v>1</v>
      </c>
      <c r="N33" s="12">
        <f t="shared" si="3"/>
        <v>0</v>
      </c>
      <c r="O33" s="5"/>
      <c r="P33" s="5"/>
    </row>
    <row r="34" spans="2:16" ht="13.8" x14ac:dyDescent="0.25">
      <c r="B34" s="1"/>
      <c r="C34" s="2"/>
      <c r="D34" s="2"/>
      <c r="E34" s="2"/>
      <c r="F34" s="69"/>
      <c r="G34" s="70"/>
      <c r="H34" s="2"/>
      <c r="I34" s="8">
        <v>0</v>
      </c>
      <c r="J34" s="8">
        <v>0</v>
      </c>
      <c r="K34" s="4">
        <v>0</v>
      </c>
      <c r="L34" s="11">
        <f t="shared" si="2"/>
        <v>0</v>
      </c>
      <c r="M34" s="12">
        <v>1</v>
      </c>
      <c r="N34" s="12">
        <f t="shared" si="3"/>
        <v>0</v>
      </c>
      <c r="O34" s="5"/>
      <c r="P34" s="5"/>
    </row>
    <row r="35" spans="2:16" ht="13.8" x14ac:dyDescent="0.25">
      <c r="B35" s="1"/>
      <c r="C35" s="2"/>
      <c r="D35" s="2"/>
      <c r="E35" s="2"/>
      <c r="F35" s="69"/>
      <c r="G35" s="70"/>
      <c r="H35" s="2"/>
      <c r="I35" s="8">
        <v>0</v>
      </c>
      <c r="J35" s="8">
        <v>0</v>
      </c>
      <c r="K35" s="4">
        <v>0</v>
      </c>
      <c r="L35" s="11">
        <f t="shared" si="2"/>
        <v>0</v>
      </c>
      <c r="M35" s="12">
        <v>1</v>
      </c>
      <c r="N35" s="12">
        <f t="shared" si="3"/>
        <v>0</v>
      </c>
      <c r="O35" s="5"/>
      <c r="P35" s="5"/>
    </row>
    <row r="36" spans="2:16" ht="13.8" x14ac:dyDescent="0.25">
      <c r="B36" s="1"/>
      <c r="C36" s="2"/>
      <c r="D36" s="2"/>
      <c r="E36" s="2"/>
      <c r="F36" s="69"/>
      <c r="G36" s="70"/>
      <c r="H36" s="2"/>
      <c r="I36" s="8">
        <v>0</v>
      </c>
      <c r="J36" s="8">
        <v>0</v>
      </c>
      <c r="K36" s="4">
        <v>0</v>
      </c>
      <c r="L36" s="11">
        <f t="shared" si="2"/>
        <v>0</v>
      </c>
      <c r="M36" s="12">
        <v>1</v>
      </c>
      <c r="N36" s="12">
        <f t="shared" si="3"/>
        <v>0</v>
      </c>
      <c r="O36" s="5"/>
      <c r="P36" s="5"/>
    </row>
    <row r="37" spans="2:16" ht="13.8" x14ac:dyDescent="0.25">
      <c r="B37" s="1"/>
      <c r="C37" s="2"/>
      <c r="D37" s="2"/>
      <c r="E37" s="2"/>
      <c r="F37" s="69"/>
      <c r="G37" s="70"/>
      <c r="H37" s="2"/>
      <c r="I37" s="8">
        <v>0</v>
      </c>
      <c r="J37" s="8">
        <v>0</v>
      </c>
      <c r="K37" s="4">
        <v>0</v>
      </c>
      <c r="L37" s="11">
        <f t="shared" si="2"/>
        <v>0</v>
      </c>
      <c r="M37" s="12">
        <v>1</v>
      </c>
      <c r="N37" s="12">
        <f t="shared" si="3"/>
        <v>0</v>
      </c>
      <c r="O37" s="5"/>
      <c r="P37" s="5"/>
    </row>
    <row r="38" spans="2:16" ht="13.8" x14ac:dyDescent="0.25">
      <c r="B38" s="1"/>
      <c r="C38" s="2"/>
      <c r="D38" s="2"/>
      <c r="E38" s="2"/>
      <c r="F38" s="69"/>
      <c r="G38" s="70"/>
      <c r="H38" s="2"/>
      <c r="I38" s="8">
        <v>0</v>
      </c>
      <c r="J38" s="8">
        <v>0</v>
      </c>
      <c r="K38" s="4">
        <v>0</v>
      </c>
      <c r="L38" s="11">
        <f t="shared" si="2"/>
        <v>0</v>
      </c>
      <c r="M38" s="12">
        <v>1</v>
      </c>
      <c r="N38" s="12">
        <f t="shared" si="3"/>
        <v>0</v>
      </c>
      <c r="O38" s="5"/>
      <c r="P38" s="5"/>
    </row>
    <row r="39" spans="2:16" ht="13.8" x14ac:dyDescent="0.25">
      <c r="B39" s="1"/>
      <c r="C39" s="2"/>
      <c r="D39" s="2"/>
      <c r="E39" s="2"/>
      <c r="F39" s="69"/>
      <c r="G39" s="70"/>
      <c r="H39" s="2"/>
      <c r="I39" s="8">
        <v>0</v>
      </c>
      <c r="J39" s="8">
        <v>0</v>
      </c>
      <c r="K39" s="4">
        <v>0</v>
      </c>
      <c r="L39" s="11">
        <f t="shared" si="2"/>
        <v>0</v>
      </c>
      <c r="M39" s="12">
        <v>1</v>
      </c>
      <c r="N39" s="12">
        <f t="shared" si="3"/>
        <v>0</v>
      </c>
      <c r="O39" s="5"/>
      <c r="P39" s="5"/>
    </row>
    <row r="40" spans="2:16" ht="13.8" x14ac:dyDescent="0.25">
      <c r="B40" s="1"/>
      <c r="C40" s="2"/>
      <c r="D40" s="2"/>
      <c r="E40" s="2"/>
      <c r="F40" s="69"/>
      <c r="G40" s="70"/>
      <c r="H40" s="2"/>
      <c r="I40" s="8">
        <v>0</v>
      </c>
      <c r="J40" s="8">
        <v>0</v>
      </c>
      <c r="K40" s="4">
        <v>0</v>
      </c>
      <c r="L40" s="11">
        <f t="shared" si="2"/>
        <v>0</v>
      </c>
      <c r="M40" s="12">
        <v>1</v>
      </c>
      <c r="N40" s="12">
        <f t="shared" si="3"/>
        <v>0</v>
      </c>
      <c r="O40" s="5"/>
      <c r="P40" s="5"/>
    </row>
    <row r="41" spans="2:16" ht="13.8" x14ac:dyDescent="0.25">
      <c r="B41" s="1"/>
      <c r="C41" s="2"/>
      <c r="D41" s="2"/>
      <c r="E41" s="2"/>
      <c r="F41" s="69"/>
      <c r="G41" s="70"/>
      <c r="H41" s="2"/>
      <c r="I41" s="8">
        <v>0</v>
      </c>
      <c r="J41" s="8">
        <v>0</v>
      </c>
      <c r="K41" s="4">
        <v>0</v>
      </c>
      <c r="L41" s="11">
        <f t="shared" si="2"/>
        <v>0</v>
      </c>
      <c r="M41" s="12">
        <v>1</v>
      </c>
      <c r="N41" s="12">
        <f t="shared" si="3"/>
        <v>0</v>
      </c>
      <c r="O41" s="5"/>
      <c r="P41" s="5"/>
    </row>
    <row r="42" spans="2:16" ht="13.8" x14ac:dyDescent="0.25">
      <c r="B42" s="1"/>
      <c r="C42" s="2"/>
      <c r="D42" s="2"/>
      <c r="E42" s="2"/>
      <c r="F42" s="69"/>
      <c r="G42" s="70"/>
      <c r="H42" s="2"/>
      <c r="I42" s="8">
        <v>0</v>
      </c>
      <c r="J42" s="8">
        <v>0</v>
      </c>
      <c r="K42" s="4">
        <v>0</v>
      </c>
      <c r="L42" s="11">
        <f t="shared" si="2"/>
        <v>0</v>
      </c>
      <c r="M42" s="12">
        <v>1</v>
      </c>
      <c r="N42" s="12">
        <f t="shared" si="3"/>
        <v>0</v>
      </c>
      <c r="O42" s="5"/>
      <c r="P42" s="5"/>
    </row>
    <row r="43" spans="2:16" ht="13.8" x14ac:dyDescent="0.25">
      <c r="B43" s="1"/>
      <c r="C43" s="2"/>
      <c r="D43" s="2"/>
      <c r="E43" s="2"/>
      <c r="F43" s="69"/>
      <c r="G43" s="70"/>
      <c r="H43" s="2"/>
      <c r="I43" s="8">
        <v>0</v>
      </c>
      <c r="J43" s="8">
        <v>0</v>
      </c>
      <c r="K43" s="4">
        <v>0</v>
      </c>
      <c r="L43" s="11">
        <f t="shared" si="2"/>
        <v>0</v>
      </c>
      <c r="M43" s="12">
        <v>1</v>
      </c>
      <c r="N43" s="12">
        <f t="shared" si="3"/>
        <v>0</v>
      </c>
      <c r="O43" s="5"/>
      <c r="P43" s="5"/>
    </row>
    <row r="44" spans="2:16" ht="13.8" x14ac:dyDescent="0.25">
      <c r="B44" s="1"/>
      <c r="C44" s="2"/>
      <c r="D44" s="2"/>
      <c r="E44" s="2"/>
      <c r="F44" s="69"/>
      <c r="G44" s="70"/>
      <c r="H44" s="2"/>
      <c r="I44" s="8">
        <v>0</v>
      </c>
      <c r="J44" s="8">
        <v>0</v>
      </c>
      <c r="K44" s="4">
        <v>0</v>
      </c>
      <c r="L44" s="11">
        <f t="shared" si="2"/>
        <v>0</v>
      </c>
      <c r="M44" s="12">
        <v>1</v>
      </c>
      <c r="N44" s="12">
        <f t="shared" si="3"/>
        <v>0</v>
      </c>
      <c r="O44" s="5"/>
      <c r="P44" s="5"/>
    </row>
    <row r="45" spans="2:16" ht="13.8" x14ac:dyDescent="0.25">
      <c r="B45" s="1"/>
      <c r="C45" s="2"/>
      <c r="D45" s="2"/>
      <c r="E45" s="2"/>
      <c r="F45" s="69"/>
      <c r="G45" s="70"/>
      <c r="H45" s="2"/>
      <c r="I45" s="8">
        <v>0</v>
      </c>
      <c r="J45" s="8">
        <v>0</v>
      </c>
      <c r="K45" s="4">
        <v>0</v>
      </c>
      <c r="L45" s="11">
        <f t="shared" si="2"/>
        <v>0</v>
      </c>
      <c r="M45" s="12">
        <v>1</v>
      </c>
      <c r="N45" s="12">
        <f t="shared" si="3"/>
        <v>0</v>
      </c>
      <c r="O45" s="5"/>
      <c r="P45" s="5"/>
    </row>
    <row r="46" spans="2:16" ht="13.8" x14ac:dyDescent="0.25">
      <c r="B46" s="1"/>
      <c r="C46" s="2"/>
      <c r="D46" s="2"/>
      <c r="E46" s="2"/>
      <c r="F46" s="69"/>
      <c r="G46" s="70"/>
      <c r="H46" s="2"/>
      <c r="I46" s="8">
        <v>0</v>
      </c>
      <c r="J46" s="8">
        <v>0</v>
      </c>
      <c r="K46" s="4">
        <v>0</v>
      </c>
      <c r="L46" s="11">
        <f t="shared" si="2"/>
        <v>0</v>
      </c>
      <c r="M46" s="12">
        <v>1</v>
      </c>
      <c r="N46" s="12">
        <f t="shared" si="3"/>
        <v>0</v>
      </c>
      <c r="O46" s="5"/>
      <c r="P46" s="5"/>
    </row>
    <row r="47" spans="2:16" ht="13.8" x14ac:dyDescent="0.25">
      <c r="B47" s="1"/>
      <c r="C47" s="2"/>
      <c r="D47" s="2"/>
      <c r="E47" s="2"/>
      <c r="F47" s="69"/>
      <c r="G47" s="70"/>
      <c r="H47" s="2"/>
      <c r="I47" s="8">
        <v>0</v>
      </c>
      <c r="J47" s="8">
        <v>0</v>
      </c>
      <c r="K47" s="4">
        <v>0</v>
      </c>
      <c r="L47" s="11">
        <f t="shared" si="2"/>
        <v>0</v>
      </c>
      <c r="M47" s="12">
        <v>1</v>
      </c>
      <c r="N47" s="12">
        <f t="shared" si="3"/>
        <v>0</v>
      </c>
      <c r="O47" s="5"/>
      <c r="P47" s="5"/>
    </row>
    <row r="48" spans="2:16" ht="13.8" x14ac:dyDescent="0.25">
      <c r="B48" s="1"/>
      <c r="C48" s="2"/>
      <c r="D48" s="2"/>
      <c r="E48" s="2"/>
      <c r="F48" s="69"/>
      <c r="G48" s="70"/>
      <c r="H48" s="2"/>
      <c r="I48" s="8">
        <v>0</v>
      </c>
      <c r="J48" s="8">
        <v>0</v>
      </c>
      <c r="K48" s="4">
        <v>0</v>
      </c>
      <c r="L48" s="11">
        <f t="shared" si="2"/>
        <v>0</v>
      </c>
      <c r="M48" s="12">
        <v>1</v>
      </c>
      <c r="N48" s="12">
        <f t="shared" si="3"/>
        <v>0</v>
      </c>
      <c r="O48" s="5"/>
      <c r="P48" s="5"/>
    </row>
    <row r="49" spans="2:16" ht="13.8" x14ac:dyDescent="0.25">
      <c r="B49" s="1"/>
      <c r="C49" s="2"/>
      <c r="D49" s="2"/>
      <c r="E49" s="2"/>
      <c r="F49" s="69"/>
      <c r="G49" s="70"/>
      <c r="H49" s="2"/>
      <c r="I49" s="8">
        <v>0</v>
      </c>
      <c r="J49" s="8">
        <v>0</v>
      </c>
      <c r="K49" s="4">
        <v>0</v>
      </c>
      <c r="L49" s="11">
        <f t="shared" si="2"/>
        <v>0</v>
      </c>
      <c r="M49" s="12">
        <v>1</v>
      </c>
      <c r="N49" s="12">
        <f t="shared" si="3"/>
        <v>0</v>
      </c>
      <c r="O49" s="5"/>
      <c r="P49" s="5"/>
    </row>
    <row r="50" spans="2:16" ht="13.8" x14ac:dyDescent="0.25">
      <c r="B50" s="1"/>
      <c r="C50" s="2"/>
      <c r="D50" s="2"/>
      <c r="E50" s="2"/>
      <c r="F50" s="69"/>
      <c r="G50" s="70"/>
      <c r="H50" s="2"/>
      <c r="I50" s="8">
        <v>0</v>
      </c>
      <c r="J50" s="8">
        <v>0</v>
      </c>
      <c r="K50" s="4">
        <v>0</v>
      </c>
      <c r="L50" s="11">
        <f t="shared" si="2"/>
        <v>0</v>
      </c>
      <c r="M50" s="12">
        <v>1</v>
      </c>
      <c r="N50" s="12">
        <f t="shared" si="3"/>
        <v>0</v>
      </c>
      <c r="O50" s="5"/>
      <c r="P50" s="5"/>
    </row>
    <row r="51" spans="2:16" ht="13.8" x14ac:dyDescent="0.25">
      <c r="B51" s="1"/>
      <c r="C51" s="2"/>
      <c r="D51" s="2"/>
      <c r="E51" s="2"/>
      <c r="F51" s="69"/>
      <c r="G51" s="70"/>
      <c r="H51" s="2"/>
      <c r="I51" s="8">
        <v>0</v>
      </c>
      <c r="J51" s="8">
        <v>0</v>
      </c>
      <c r="K51" s="4">
        <v>0</v>
      </c>
      <c r="L51" s="11">
        <f t="shared" si="2"/>
        <v>0</v>
      </c>
      <c r="M51" s="12">
        <v>1</v>
      </c>
      <c r="N51" s="12">
        <f t="shared" si="3"/>
        <v>0</v>
      </c>
      <c r="O51" s="5"/>
      <c r="P51" s="5"/>
    </row>
    <row r="52" spans="2:16" ht="13.8" x14ac:dyDescent="0.25">
      <c r="B52" s="1"/>
      <c r="C52" s="2"/>
      <c r="D52" s="2"/>
      <c r="E52" s="2"/>
      <c r="F52" s="69"/>
      <c r="G52" s="70"/>
      <c r="H52" s="2"/>
      <c r="I52" s="8">
        <v>0</v>
      </c>
      <c r="J52" s="8">
        <v>0</v>
      </c>
      <c r="K52" s="4">
        <v>0</v>
      </c>
      <c r="L52" s="11">
        <f t="shared" si="2"/>
        <v>0</v>
      </c>
      <c r="M52" s="12">
        <v>1</v>
      </c>
      <c r="N52" s="12">
        <f t="shared" si="3"/>
        <v>0</v>
      </c>
      <c r="O52" s="5"/>
      <c r="P52" s="5"/>
    </row>
    <row r="53" spans="2:16" ht="13.8" x14ac:dyDescent="0.25">
      <c r="B53" s="1"/>
      <c r="C53" s="2"/>
      <c r="D53" s="2"/>
      <c r="E53" s="2"/>
      <c r="F53" s="69"/>
      <c r="G53" s="70"/>
      <c r="H53" s="2"/>
      <c r="I53" s="8">
        <v>0</v>
      </c>
      <c r="J53" s="8">
        <v>0</v>
      </c>
      <c r="K53" s="4">
        <v>0</v>
      </c>
      <c r="L53" s="11">
        <f t="shared" si="2"/>
        <v>0</v>
      </c>
      <c r="M53" s="12">
        <v>1</v>
      </c>
      <c r="N53" s="12">
        <f t="shared" si="3"/>
        <v>0</v>
      </c>
      <c r="O53" s="5"/>
      <c r="P53" s="5"/>
    </row>
    <row r="54" spans="2:16" ht="13.8" x14ac:dyDescent="0.25">
      <c r="B54" s="1"/>
      <c r="C54" s="2"/>
      <c r="D54" s="2"/>
      <c r="E54" s="2"/>
      <c r="F54" s="69"/>
      <c r="G54" s="70"/>
      <c r="H54" s="2"/>
      <c r="I54" s="8">
        <v>0</v>
      </c>
      <c r="J54" s="8">
        <v>0</v>
      </c>
      <c r="K54" s="4">
        <v>0</v>
      </c>
      <c r="L54" s="11">
        <f t="shared" si="2"/>
        <v>0</v>
      </c>
      <c r="M54" s="12">
        <v>1</v>
      </c>
      <c r="N54" s="12">
        <f t="shared" si="3"/>
        <v>0</v>
      </c>
      <c r="O54" s="5"/>
      <c r="P54" s="5"/>
    </row>
    <row r="55" spans="2:16" ht="13.8" x14ac:dyDescent="0.25">
      <c r="B55" s="1"/>
      <c r="C55" s="2"/>
      <c r="D55" s="2"/>
      <c r="E55" s="2"/>
      <c r="F55" s="69"/>
      <c r="G55" s="70"/>
      <c r="H55" s="2"/>
      <c r="I55" s="8">
        <v>0</v>
      </c>
      <c r="J55" s="8">
        <v>0</v>
      </c>
      <c r="K55" s="4">
        <v>0</v>
      </c>
      <c r="L55" s="11">
        <f t="shared" si="2"/>
        <v>0</v>
      </c>
      <c r="M55" s="12">
        <v>1</v>
      </c>
      <c r="N55" s="12">
        <f t="shared" si="3"/>
        <v>0</v>
      </c>
      <c r="O55" s="5"/>
      <c r="P55" s="5"/>
    </row>
    <row r="56" spans="2:16" ht="13.8" x14ac:dyDescent="0.25">
      <c r="B56" s="1"/>
      <c r="C56" s="2"/>
      <c r="D56" s="2"/>
      <c r="E56" s="2"/>
      <c r="F56" s="69"/>
      <c r="G56" s="70"/>
      <c r="H56" s="2"/>
      <c r="I56" s="8">
        <v>0</v>
      </c>
      <c r="J56" s="8">
        <v>0</v>
      </c>
      <c r="K56" s="4">
        <v>0</v>
      </c>
      <c r="L56" s="11">
        <f t="shared" si="2"/>
        <v>0</v>
      </c>
      <c r="M56" s="12">
        <v>1</v>
      </c>
      <c r="N56" s="12">
        <f t="shared" si="3"/>
        <v>0</v>
      </c>
      <c r="O56" s="5"/>
      <c r="P56" s="5"/>
    </row>
    <row r="57" spans="2:16" ht="13.8" x14ac:dyDescent="0.25">
      <c r="B57" s="1"/>
      <c r="C57" s="2"/>
      <c r="D57" s="2"/>
      <c r="E57" s="2"/>
      <c r="F57" s="69"/>
      <c r="G57" s="70"/>
      <c r="H57" s="2"/>
      <c r="I57" s="8">
        <v>0</v>
      </c>
      <c r="J57" s="8">
        <v>0</v>
      </c>
      <c r="K57" s="4">
        <v>0</v>
      </c>
      <c r="L57" s="11">
        <f t="shared" si="2"/>
        <v>0</v>
      </c>
      <c r="M57" s="12">
        <v>1</v>
      </c>
      <c r="N57" s="12">
        <f t="shared" si="3"/>
        <v>0</v>
      </c>
      <c r="O57" s="5"/>
      <c r="P57" s="5"/>
    </row>
    <row r="58" spans="2:16" ht="13.8" x14ac:dyDescent="0.25">
      <c r="B58" s="1"/>
      <c r="C58" s="2"/>
      <c r="D58" s="2"/>
      <c r="E58" s="2"/>
      <c r="F58" s="69"/>
      <c r="G58" s="70"/>
      <c r="H58" s="2"/>
      <c r="I58" s="8">
        <v>0</v>
      </c>
      <c r="J58" s="8">
        <v>0</v>
      </c>
      <c r="K58" s="4">
        <v>0</v>
      </c>
      <c r="L58" s="11">
        <f t="shared" si="2"/>
        <v>0</v>
      </c>
      <c r="M58" s="12">
        <v>1</v>
      </c>
      <c r="N58" s="12">
        <f t="shared" si="3"/>
        <v>0</v>
      </c>
      <c r="O58" s="5"/>
      <c r="P58" s="5"/>
    </row>
    <row r="59" spans="2:16" ht="13.8" x14ac:dyDescent="0.25">
      <c r="B59" s="1"/>
      <c r="C59" s="2"/>
      <c r="D59" s="2"/>
      <c r="E59" s="2"/>
      <c r="F59" s="69"/>
      <c r="G59" s="70"/>
      <c r="H59" s="2"/>
      <c r="I59" s="8">
        <v>0</v>
      </c>
      <c r="J59" s="8">
        <v>0</v>
      </c>
      <c r="K59" s="4">
        <v>0</v>
      </c>
      <c r="L59" s="11">
        <f t="shared" si="2"/>
        <v>0</v>
      </c>
      <c r="M59" s="12">
        <v>1</v>
      </c>
      <c r="N59" s="12">
        <f t="shared" si="3"/>
        <v>0</v>
      </c>
      <c r="O59" s="5"/>
      <c r="P59" s="5"/>
    </row>
    <row r="60" spans="2:16" ht="13.8" x14ac:dyDescent="0.25">
      <c r="B60" s="1"/>
      <c r="C60" s="2"/>
      <c r="D60" s="2"/>
      <c r="E60" s="2"/>
      <c r="F60" s="69"/>
      <c r="G60" s="70"/>
      <c r="H60" s="2"/>
      <c r="I60" s="8">
        <v>0</v>
      </c>
      <c r="J60" s="8">
        <v>0</v>
      </c>
      <c r="K60" s="4">
        <v>0</v>
      </c>
      <c r="L60" s="11">
        <f t="shared" si="2"/>
        <v>0</v>
      </c>
      <c r="M60" s="12">
        <v>1</v>
      </c>
      <c r="N60" s="12">
        <f t="shared" si="3"/>
        <v>0</v>
      </c>
      <c r="O60" s="5"/>
      <c r="P60" s="5"/>
    </row>
    <row r="61" spans="2:16" ht="13.8" x14ac:dyDescent="0.25">
      <c r="B61" s="1"/>
      <c r="C61" s="2"/>
      <c r="D61" s="2"/>
      <c r="E61" s="2"/>
      <c r="F61" s="69"/>
      <c r="G61" s="70"/>
      <c r="H61" s="2"/>
      <c r="I61" s="8">
        <v>0</v>
      </c>
      <c r="J61" s="8">
        <v>0</v>
      </c>
      <c r="K61" s="4">
        <v>0</v>
      </c>
      <c r="L61" s="11">
        <f t="shared" si="2"/>
        <v>0</v>
      </c>
      <c r="M61" s="12">
        <v>1</v>
      </c>
      <c r="N61" s="12">
        <f t="shared" si="3"/>
        <v>0</v>
      </c>
      <c r="O61" s="5"/>
      <c r="P61" s="5"/>
    </row>
    <row r="62" spans="2:16" ht="13.8" x14ac:dyDescent="0.25">
      <c r="B62" s="1"/>
      <c r="C62" s="2"/>
      <c r="D62" s="2"/>
      <c r="E62" s="2"/>
      <c r="F62" s="69"/>
      <c r="G62" s="70"/>
      <c r="H62" s="2"/>
      <c r="I62" s="8">
        <v>0</v>
      </c>
      <c r="J62" s="8">
        <v>0</v>
      </c>
      <c r="K62" s="4">
        <v>0</v>
      </c>
      <c r="L62" s="11">
        <f t="shared" si="2"/>
        <v>0</v>
      </c>
      <c r="M62" s="12">
        <v>1</v>
      </c>
      <c r="N62" s="12">
        <f t="shared" si="3"/>
        <v>0</v>
      </c>
      <c r="O62" s="5"/>
      <c r="P62" s="5"/>
    </row>
    <row r="63" spans="2:16" ht="13.8" x14ac:dyDescent="0.25">
      <c r="B63" s="1"/>
      <c r="C63" s="2"/>
      <c r="D63" s="2"/>
      <c r="E63" s="2"/>
      <c r="F63" s="69"/>
      <c r="G63" s="70"/>
      <c r="H63" s="2"/>
      <c r="I63" s="8">
        <v>0</v>
      </c>
      <c r="J63" s="8">
        <v>0</v>
      </c>
      <c r="K63" s="4">
        <v>0</v>
      </c>
      <c r="L63" s="11">
        <f t="shared" si="2"/>
        <v>0</v>
      </c>
      <c r="M63" s="12">
        <v>1</v>
      </c>
      <c r="N63" s="12">
        <f t="shared" si="3"/>
        <v>0</v>
      </c>
      <c r="O63" s="5"/>
      <c r="P63" s="5"/>
    </row>
  </sheetData>
  <mergeCells count="79">
    <mergeCell ref="F15:G15"/>
    <mergeCell ref="F10:G10"/>
    <mergeCell ref="B7:B9"/>
    <mergeCell ref="F7:G7"/>
    <mergeCell ref="F8:G8"/>
    <mergeCell ref="F9:G9"/>
    <mergeCell ref="F11:G11"/>
    <mergeCell ref="F12:G12"/>
    <mergeCell ref="F13:G13"/>
    <mergeCell ref="F14:G14"/>
    <mergeCell ref="B4:N4"/>
    <mergeCell ref="O4:P4"/>
    <mergeCell ref="B5:B6"/>
    <mergeCell ref="C5:C6"/>
    <mergeCell ref="D5:D6"/>
    <mergeCell ref="E5:E6"/>
    <mergeCell ref="F5:G6"/>
    <mergeCell ref="H5:H6"/>
    <mergeCell ref="I5:K5"/>
    <mergeCell ref="L5:N5"/>
    <mergeCell ref="O5:O6"/>
    <mergeCell ref="P5:P6"/>
    <mergeCell ref="B1:C2"/>
    <mergeCell ref="D1:N2"/>
    <mergeCell ref="O1:P1"/>
    <mergeCell ref="O2:P2"/>
    <mergeCell ref="B3:H3"/>
    <mergeCell ref="I3:N3"/>
    <mergeCell ref="O3:P3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7:G47"/>
    <mergeCell ref="F48:G48"/>
    <mergeCell ref="F49:G49"/>
    <mergeCell ref="F50:G50"/>
    <mergeCell ref="F41:G41"/>
    <mergeCell ref="F42:G42"/>
    <mergeCell ref="F43:G43"/>
    <mergeCell ref="F44:G44"/>
    <mergeCell ref="F45:G45"/>
    <mergeCell ref="F61:G61"/>
    <mergeCell ref="F62:G62"/>
    <mergeCell ref="F63:G63"/>
    <mergeCell ref="B20:B21"/>
    <mergeCell ref="C20:C21"/>
    <mergeCell ref="F56:G56"/>
    <mergeCell ref="F57:G57"/>
    <mergeCell ref="F58:G58"/>
    <mergeCell ref="F59:G59"/>
    <mergeCell ref="F60:G60"/>
    <mergeCell ref="F51:G51"/>
    <mergeCell ref="F52:G52"/>
    <mergeCell ref="F53:G53"/>
    <mergeCell ref="F54:G54"/>
    <mergeCell ref="F55:G55"/>
    <mergeCell ref="F46:G46"/>
  </mergeCells>
  <pageMargins left="0.19685039370078741" right="0" top="0.19685039370078741" bottom="0" header="0" footer="0"/>
  <pageSetup paperSize="9" scale="61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13B51-9F04-4EF2-81E3-E6C512291DE7}">
  <sheetPr>
    <pageSetUpPr fitToPage="1"/>
  </sheetPr>
  <dimension ref="B1:P68"/>
  <sheetViews>
    <sheetView topLeftCell="G35" zoomScale="120" zoomScaleNormal="120" workbookViewId="0">
      <selection activeCell="H44" sqref="H44"/>
    </sheetView>
  </sheetViews>
  <sheetFormatPr baseColWidth="10" defaultColWidth="8.88671875" defaultRowHeight="13.2" x14ac:dyDescent="0.25"/>
  <cols>
    <col min="1" max="1" width="2.109375" customWidth="1"/>
    <col min="2" max="2" width="11.77734375" customWidth="1"/>
    <col min="3" max="3" width="17.5546875" customWidth="1"/>
    <col min="4" max="4" width="17.6640625" customWidth="1"/>
    <col min="5" max="5" width="15.21875" customWidth="1"/>
    <col min="6" max="6" width="14.6640625" customWidth="1"/>
    <col min="7" max="7" width="16" customWidth="1"/>
    <col min="8" max="8" width="28.44140625" customWidth="1"/>
    <col min="9" max="10" width="17.109375" customWidth="1"/>
    <col min="11" max="11" width="17.33203125" customWidth="1"/>
    <col min="12" max="12" width="16.33203125" customWidth="1"/>
    <col min="13" max="13" width="13.77734375" customWidth="1"/>
    <col min="14" max="14" width="14.77734375" customWidth="1"/>
    <col min="15" max="15" width="22.44140625" customWidth="1"/>
    <col min="16" max="16" width="17.33203125" customWidth="1"/>
  </cols>
  <sheetData>
    <row r="1" spans="2:16" ht="18" customHeight="1" x14ac:dyDescent="0.25">
      <c r="B1" s="80"/>
      <c r="C1" s="80"/>
      <c r="D1" s="82" t="s">
        <v>18</v>
      </c>
      <c r="E1" s="82"/>
      <c r="F1" s="82"/>
      <c r="G1" s="82"/>
      <c r="H1" s="82"/>
      <c r="I1" s="82"/>
      <c r="J1" s="82"/>
      <c r="K1" s="82"/>
      <c r="L1" s="82"/>
      <c r="M1" s="82"/>
      <c r="N1" s="82"/>
      <c r="O1" s="75" t="s">
        <v>21</v>
      </c>
      <c r="P1" s="76"/>
    </row>
    <row r="2" spans="2:16" ht="19.2" customHeight="1" x14ac:dyDescent="0.25">
      <c r="B2" s="81"/>
      <c r="C2" s="81"/>
      <c r="D2" s="83"/>
      <c r="E2" s="83"/>
      <c r="F2" s="83"/>
      <c r="G2" s="83"/>
      <c r="H2" s="83"/>
      <c r="I2" s="84"/>
      <c r="J2" s="84"/>
      <c r="K2" s="84"/>
      <c r="L2" s="84"/>
      <c r="M2" s="84"/>
      <c r="N2" s="84"/>
      <c r="O2" s="76" t="s">
        <v>0</v>
      </c>
      <c r="P2" s="76"/>
    </row>
    <row r="3" spans="2:16" ht="12.6" customHeight="1" x14ac:dyDescent="0.25">
      <c r="B3" s="79" t="s">
        <v>9</v>
      </c>
      <c r="C3" s="79"/>
      <c r="D3" s="79"/>
      <c r="E3" s="79"/>
      <c r="F3" s="79"/>
      <c r="G3" s="79"/>
      <c r="H3" s="79"/>
      <c r="I3" s="77" t="s">
        <v>10</v>
      </c>
      <c r="J3" s="78"/>
      <c r="K3" s="78"/>
      <c r="L3" s="78"/>
      <c r="M3" s="78"/>
      <c r="N3" s="78"/>
      <c r="O3" s="75" t="s">
        <v>19</v>
      </c>
      <c r="P3" s="76"/>
    </row>
    <row r="4" spans="2:16" ht="10.199999999999999" customHeight="1" x14ac:dyDescent="0.25">
      <c r="B4" s="86" t="s">
        <v>17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75" t="s">
        <v>20</v>
      </c>
      <c r="P4" s="76"/>
    </row>
    <row r="5" spans="2:16" ht="15.45" customHeight="1" x14ac:dyDescent="0.25">
      <c r="B5" s="91" t="s">
        <v>1</v>
      </c>
      <c r="C5" s="91" t="s">
        <v>3</v>
      </c>
      <c r="D5" s="91" t="s">
        <v>4</v>
      </c>
      <c r="E5" s="91" t="s">
        <v>2</v>
      </c>
      <c r="F5" s="100" t="s">
        <v>15</v>
      </c>
      <c r="G5" s="101"/>
      <c r="H5" s="91" t="s">
        <v>22</v>
      </c>
      <c r="I5" s="93" t="s">
        <v>16</v>
      </c>
      <c r="J5" s="94"/>
      <c r="K5" s="95"/>
      <c r="L5" s="96" t="s">
        <v>6</v>
      </c>
      <c r="M5" s="97"/>
      <c r="N5" s="98"/>
      <c r="O5" s="99" t="s">
        <v>5</v>
      </c>
      <c r="P5" s="99" t="s">
        <v>14</v>
      </c>
    </row>
    <row r="6" spans="2:16" ht="25.8" customHeight="1" x14ac:dyDescent="0.25">
      <c r="B6" s="92"/>
      <c r="C6" s="92"/>
      <c r="D6" s="92"/>
      <c r="E6" s="92"/>
      <c r="F6" s="102"/>
      <c r="G6" s="103"/>
      <c r="H6" s="92"/>
      <c r="I6" s="6" t="s">
        <v>7</v>
      </c>
      <c r="J6" s="6" t="s">
        <v>8</v>
      </c>
      <c r="K6" s="6" t="s">
        <v>11</v>
      </c>
      <c r="L6" s="7" t="s">
        <v>13</v>
      </c>
      <c r="M6" s="7" t="s">
        <v>23</v>
      </c>
      <c r="N6" s="7" t="s">
        <v>12</v>
      </c>
      <c r="O6" s="99"/>
      <c r="P6" s="99"/>
    </row>
    <row r="7" spans="2:16" ht="25.05" customHeight="1" x14ac:dyDescent="0.25">
      <c r="B7" s="88">
        <v>46098</v>
      </c>
      <c r="C7" s="2" t="s">
        <v>81</v>
      </c>
      <c r="D7" s="2" t="s">
        <v>46</v>
      </c>
      <c r="E7" s="2" t="s">
        <v>54</v>
      </c>
      <c r="F7" s="85" t="s">
        <v>106</v>
      </c>
      <c r="G7" s="85"/>
      <c r="H7" s="2">
        <v>1</v>
      </c>
      <c r="I7" s="8">
        <v>0.29166666666666669</v>
      </c>
      <c r="J7" s="8">
        <v>0.31944444444444448</v>
      </c>
      <c r="K7" s="4">
        <v>0</v>
      </c>
      <c r="L7" s="11">
        <f>((J7-I7+(J7&lt;I7))*1440)-K7</f>
        <v>40.000000000000014</v>
      </c>
      <c r="M7" s="12">
        <v>1</v>
      </c>
      <c r="N7" s="12">
        <f>L7/M7</f>
        <v>40.000000000000014</v>
      </c>
      <c r="O7" s="5"/>
      <c r="P7" s="5"/>
    </row>
    <row r="8" spans="2:16" ht="25.05" customHeight="1" x14ac:dyDescent="0.25">
      <c r="B8" s="89"/>
      <c r="C8" s="2" t="s">
        <v>81</v>
      </c>
      <c r="D8" s="2"/>
      <c r="E8" s="2" t="s">
        <v>107</v>
      </c>
      <c r="F8" s="85" t="s">
        <v>108</v>
      </c>
      <c r="G8" s="85"/>
      <c r="H8" s="2">
        <v>1</v>
      </c>
      <c r="I8" s="8">
        <v>0.31944444444444448</v>
      </c>
      <c r="J8" s="8">
        <v>0.40277777777777773</v>
      </c>
      <c r="K8" s="4">
        <v>45</v>
      </c>
      <c r="L8" s="11">
        <f t="shared" ref="L8:L15" si="0">((J8-I8+(J8&lt;I8))*1440)-K8</f>
        <v>74.999999999999886</v>
      </c>
      <c r="M8" s="12">
        <v>1</v>
      </c>
      <c r="N8" s="12">
        <f t="shared" ref="N8:N15" si="1">L8/M8</f>
        <v>74.999999999999886</v>
      </c>
      <c r="O8" s="5"/>
      <c r="P8" s="5"/>
    </row>
    <row r="9" spans="2:16" ht="25.05" customHeight="1" x14ac:dyDescent="0.25">
      <c r="B9" s="89"/>
      <c r="C9" s="2" t="s">
        <v>24</v>
      </c>
      <c r="D9" s="2"/>
      <c r="E9" s="2" t="s">
        <v>109</v>
      </c>
      <c r="F9" s="85" t="s">
        <v>110</v>
      </c>
      <c r="G9" s="85"/>
      <c r="H9" s="2">
        <v>2</v>
      </c>
      <c r="I9" s="8">
        <v>0.40277777777777773</v>
      </c>
      <c r="J9" s="8">
        <v>0.41666666666666669</v>
      </c>
      <c r="K9" s="4">
        <v>0</v>
      </c>
      <c r="L9" s="11">
        <f t="shared" si="0"/>
        <v>20.000000000000089</v>
      </c>
      <c r="M9" s="12">
        <v>1</v>
      </c>
      <c r="N9" s="12">
        <f t="shared" si="1"/>
        <v>20.000000000000089</v>
      </c>
      <c r="O9" s="5"/>
      <c r="P9" s="5"/>
    </row>
    <row r="10" spans="2:16" ht="25.05" customHeight="1" x14ac:dyDescent="0.25">
      <c r="B10" s="89"/>
      <c r="C10" s="2" t="s">
        <v>69</v>
      </c>
      <c r="D10" s="2"/>
      <c r="E10" s="2" t="s">
        <v>109</v>
      </c>
      <c r="F10" s="85" t="s">
        <v>111</v>
      </c>
      <c r="G10" s="85"/>
      <c r="H10" s="2">
        <v>18</v>
      </c>
      <c r="I10" s="8">
        <v>0.41666666666666669</v>
      </c>
      <c r="J10" s="8">
        <v>0.4861111111111111</v>
      </c>
      <c r="K10" s="4">
        <v>0</v>
      </c>
      <c r="L10" s="11">
        <f t="shared" si="0"/>
        <v>99.999999999999972</v>
      </c>
      <c r="M10" s="12">
        <v>1</v>
      </c>
      <c r="N10" s="12">
        <f t="shared" si="1"/>
        <v>99.999999999999972</v>
      </c>
      <c r="O10" s="5"/>
      <c r="P10" s="5"/>
    </row>
    <row r="11" spans="2:16" ht="25.05" customHeight="1" x14ac:dyDescent="0.25">
      <c r="B11" s="89"/>
      <c r="C11" s="2" t="s">
        <v>69</v>
      </c>
      <c r="D11" s="2"/>
      <c r="E11" s="2" t="s">
        <v>112</v>
      </c>
      <c r="F11" s="85" t="s">
        <v>113</v>
      </c>
      <c r="G11" s="85"/>
      <c r="H11" s="2">
        <v>1</v>
      </c>
      <c r="I11" s="8">
        <v>0.4861111111111111</v>
      </c>
      <c r="J11" s="8">
        <v>0.5</v>
      </c>
      <c r="K11" s="4">
        <v>0</v>
      </c>
      <c r="L11" s="11">
        <f t="shared" si="0"/>
        <v>20.000000000000007</v>
      </c>
      <c r="M11" s="12">
        <v>1</v>
      </c>
      <c r="N11" s="12">
        <f t="shared" si="1"/>
        <v>20.000000000000007</v>
      </c>
      <c r="O11" s="5"/>
      <c r="P11" s="5"/>
    </row>
    <row r="12" spans="2:16" ht="25.05" customHeight="1" x14ac:dyDescent="0.25">
      <c r="B12" s="89"/>
      <c r="C12" s="2" t="s">
        <v>32</v>
      </c>
      <c r="D12" s="2"/>
      <c r="E12" s="2" t="s">
        <v>109</v>
      </c>
      <c r="F12" s="85" t="s">
        <v>114</v>
      </c>
      <c r="G12" s="85"/>
      <c r="H12" s="2">
        <v>2</v>
      </c>
      <c r="I12" s="8">
        <v>0.5</v>
      </c>
      <c r="J12" s="8">
        <v>0.52777777777777779</v>
      </c>
      <c r="K12" s="4">
        <v>0</v>
      </c>
      <c r="L12" s="11">
        <f t="shared" si="0"/>
        <v>40.000000000000014</v>
      </c>
      <c r="M12" s="12">
        <v>1</v>
      </c>
      <c r="N12" s="12">
        <f t="shared" si="1"/>
        <v>40.000000000000014</v>
      </c>
      <c r="O12" s="5"/>
      <c r="P12" s="5"/>
    </row>
    <row r="13" spans="2:16" ht="25.05" customHeight="1" x14ac:dyDescent="0.25">
      <c r="B13" s="89"/>
      <c r="C13" s="2" t="s">
        <v>69</v>
      </c>
      <c r="D13" s="2"/>
      <c r="E13" s="2" t="s">
        <v>107</v>
      </c>
      <c r="F13" s="69" t="s">
        <v>115</v>
      </c>
      <c r="G13" s="70"/>
      <c r="H13" s="2">
        <v>1</v>
      </c>
      <c r="I13" s="8">
        <v>0.52777777777777779</v>
      </c>
      <c r="J13" s="8">
        <v>0.54166666666666663</v>
      </c>
      <c r="K13" s="4">
        <v>0</v>
      </c>
      <c r="L13" s="11">
        <f t="shared" si="0"/>
        <v>19.999999999999929</v>
      </c>
      <c r="M13" s="12">
        <v>1</v>
      </c>
      <c r="N13" s="12">
        <f t="shared" si="1"/>
        <v>19.999999999999929</v>
      </c>
      <c r="O13" s="5"/>
      <c r="P13" s="5"/>
    </row>
    <row r="14" spans="2:16" ht="25.05" customHeight="1" x14ac:dyDescent="0.25">
      <c r="B14" s="89"/>
      <c r="C14" s="2" t="s">
        <v>32</v>
      </c>
      <c r="D14" s="2"/>
      <c r="E14" s="2" t="s">
        <v>109</v>
      </c>
      <c r="F14" s="69" t="s">
        <v>114</v>
      </c>
      <c r="G14" s="70"/>
      <c r="H14" s="2">
        <v>2</v>
      </c>
      <c r="I14" s="8">
        <v>0.54166666666666663</v>
      </c>
      <c r="J14" s="8">
        <v>0.58333333333333337</v>
      </c>
      <c r="K14" s="4">
        <v>40</v>
      </c>
      <c r="L14" s="11">
        <f t="shared" si="0"/>
        <v>20.000000000000107</v>
      </c>
      <c r="M14" s="12">
        <v>1</v>
      </c>
      <c r="N14" s="12">
        <f t="shared" si="1"/>
        <v>20.000000000000107</v>
      </c>
      <c r="O14" s="5"/>
      <c r="P14" s="5"/>
    </row>
    <row r="15" spans="2:16" ht="25.05" customHeight="1" x14ac:dyDescent="0.25">
      <c r="B15" s="90"/>
      <c r="C15" s="2" t="s">
        <v>24</v>
      </c>
      <c r="D15" s="2"/>
      <c r="E15" s="2" t="s">
        <v>109</v>
      </c>
      <c r="F15" s="69" t="s">
        <v>116</v>
      </c>
      <c r="G15" s="70"/>
      <c r="H15" s="2">
        <v>2</v>
      </c>
      <c r="I15" s="8">
        <v>0.58333333333333337</v>
      </c>
      <c r="J15" s="8">
        <v>0.625</v>
      </c>
      <c r="K15" s="4">
        <v>0</v>
      </c>
      <c r="L15" s="11">
        <f t="shared" si="0"/>
        <v>59.999999999999943</v>
      </c>
      <c r="M15" s="12">
        <v>1</v>
      </c>
      <c r="N15" s="12">
        <f t="shared" si="1"/>
        <v>59.999999999999943</v>
      </c>
      <c r="O15" s="5"/>
      <c r="P15" s="5"/>
    </row>
    <row r="16" spans="2:16" ht="13.8" x14ac:dyDescent="0.25">
      <c r="B16" s="2"/>
      <c r="C16" s="2" t="s">
        <v>24</v>
      </c>
      <c r="D16" s="2"/>
      <c r="E16" s="2"/>
      <c r="F16" s="69"/>
      <c r="G16" s="70"/>
      <c r="H16" s="2"/>
      <c r="I16" s="8">
        <v>0</v>
      </c>
      <c r="J16" s="8">
        <v>0</v>
      </c>
      <c r="K16" s="4">
        <v>0</v>
      </c>
      <c r="L16" s="11">
        <f t="shared" ref="L16:L42" si="2">((J16-I16+(J16&lt;I16))*1440)-K16</f>
        <v>0</v>
      </c>
      <c r="M16" s="12">
        <v>1</v>
      </c>
      <c r="N16" s="12">
        <f t="shared" ref="N16:N42" si="3">L16/M16</f>
        <v>0</v>
      </c>
      <c r="O16" s="5"/>
      <c r="P16" s="5"/>
    </row>
    <row r="17" spans="2:16" ht="13.8" x14ac:dyDescent="0.25">
      <c r="B17" s="2"/>
      <c r="C17" s="2" t="s">
        <v>24</v>
      </c>
      <c r="D17" s="2"/>
      <c r="E17" s="2"/>
      <c r="F17" s="69"/>
      <c r="G17" s="70"/>
      <c r="H17" s="2"/>
      <c r="I17" s="8">
        <v>0</v>
      </c>
      <c r="J17" s="8">
        <v>0</v>
      </c>
      <c r="K17" s="4">
        <v>0</v>
      </c>
      <c r="L17" s="11">
        <f t="shared" si="2"/>
        <v>0</v>
      </c>
      <c r="M17" s="12">
        <v>1</v>
      </c>
      <c r="N17" s="12">
        <f t="shared" si="3"/>
        <v>0</v>
      </c>
      <c r="O17" s="5"/>
      <c r="P17" s="5"/>
    </row>
    <row r="18" spans="2:16" ht="13.8" x14ac:dyDescent="0.25">
      <c r="B18" s="2"/>
      <c r="C18" s="2" t="s">
        <v>24</v>
      </c>
      <c r="D18" s="2"/>
      <c r="E18" s="2"/>
      <c r="F18" s="69"/>
      <c r="G18" s="70"/>
      <c r="H18" s="2"/>
      <c r="I18" s="8">
        <v>0</v>
      </c>
      <c r="J18" s="8">
        <v>0</v>
      </c>
      <c r="K18" s="4">
        <v>0</v>
      </c>
      <c r="L18" s="11">
        <f t="shared" si="2"/>
        <v>0</v>
      </c>
      <c r="M18" s="12">
        <v>1</v>
      </c>
      <c r="N18" s="12">
        <f t="shared" si="3"/>
        <v>0</v>
      </c>
      <c r="O18" s="5"/>
      <c r="P18" s="5"/>
    </row>
    <row r="19" spans="2:16" ht="13.8" x14ac:dyDescent="0.25">
      <c r="B19" s="2"/>
      <c r="C19" s="2" t="s">
        <v>24</v>
      </c>
      <c r="D19" s="2"/>
      <c r="E19" s="2"/>
      <c r="F19" s="69"/>
      <c r="G19" s="70"/>
      <c r="H19" s="2"/>
      <c r="I19" s="8">
        <v>0</v>
      </c>
      <c r="J19" s="8">
        <v>0</v>
      </c>
      <c r="K19" s="4">
        <v>0</v>
      </c>
      <c r="L19" s="11">
        <f t="shared" si="2"/>
        <v>0</v>
      </c>
      <c r="M19" s="12">
        <v>1</v>
      </c>
      <c r="N19" s="12">
        <f t="shared" si="3"/>
        <v>0</v>
      </c>
      <c r="O19" s="5"/>
      <c r="P19" s="5"/>
    </row>
    <row r="20" spans="2:16" ht="13.8" x14ac:dyDescent="0.25">
      <c r="B20" s="2"/>
      <c r="C20" s="2" t="s">
        <v>24</v>
      </c>
      <c r="D20" s="2"/>
      <c r="E20" s="2"/>
      <c r="F20" s="69"/>
      <c r="G20" s="70"/>
      <c r="H20" s="2"/>
      <c r="I20" s="8">
        <v>0</v>
      </c>
      <c r="J20" s="8">
        <v>0</v>
      </c>
      <c r="K20" s="4">
        <v>0</v>
      </c>
      <c r="L20" s="11">
        <f t="shared" si="2"/>
        <v>0</v>
      </c>
      <c r="M20" s="12">
        <v>1</v>
      </c>
      <c r="N20" s="12">
        <f t="shared" si="3"/>
        <v>0</v>
      </c>
      <c r="O20" s="5"/>
      <c r="P20" s="5"/>
    </row>
    <row r="21" spans="2:16" ht="13.8" x14ac:dyDescent="0.25">
      <c r="B21" s="2"/>
      <c r="C21" s="2" t="s">
        <v>24</v>
      </c>
      <c r="D21" s="2"/>
      <c r="E21" s="2"/>
      <c r="F21" s="69"/>
      <c r="G21" s="70"/>
      <c r="H21" s="2"/>
      <c r="I21" s="8">
        <v>0</v>
      </c>
      <c r="J21" s="8">
        <v>0</v>
      </c>
      <c r="K21" s="4">
        <v>0</v>
      </c>
      <c r="L21" s="11">
        <f t="shared" si="2"/>
        <v>0</v>
      </c>
      <c r="M21" s="12">
        <v>1</v>
      </c>
      <c r="N21" s="12">
        <f t="shared" si="3"/>
        <v>0</v>
      </c>
      <c r="O21" s="5"/>
      <c r="P21" s="5"/>
    </row>
    <row r="22" spans="2:16" ht="13.8" x14ac:dyDescent="0.25">
      <c r="B22" s="2"/>
      <c r="C22" s="2" t="s">
        <v>24</v>
      </c>
      <c r="D22" s="2"/>
      <c r="E22" s="2"/>
      <c r="F22" s="69"/>
      <c r="G22" s="70"/>
      <c r="H22" s="2"/>
      <c r="I22" s="8">
        <v>0</v>
      </c>
      <c r="J22" s="8">
        <v>0</v>
      </c>
      <c r="K22" s="4">
        <v>0</v>
      </c>
      <c r="L22" s="11">
        <f t="shared" si="2"/>
        <v>0</v>
      </c>
      <c r="M22" s="12">
        <v>1</v>
      </c>
      <c r="N22" s="12">
        <f t="shared" si="3"/>
        <v>0</v>
      </c>
      <c r="O22" s="5"/>
      <c r="P22" s="5"/>
    </row>
    <row r="23" spans="2:16" ht="13.8" x14ac:dyDescent="0.25">
      <c r="B23" s="2"/>
      <c r="C23" s="2" t="s">
        <v>24</v>
      </c>
      <c r="D23" s="2"/>
      <c r="E23" s="2"/>
      <c r="F23" s="69"/>
      <c r="G23" s="70"/>
      <c r="H23" s="2"/>
      <c r="I23" s="8">
        <v>0</v>
      </c>
      <c r="J23" s="8">
        <v>0</v>
      </c>
      <c r="K23" s="4">
        <v>0</v>
      </c>
      <c r="L23" s="11">
        <f t="shared" si="2"/>
        <v>0</v>
      </c>
      <c r="M23" s="12">
        <v>1</v>
      </c>
      <c r="N23" s="12">
        <f t="shared" si="3"/>
        <v>0</v>
      </c>
      <c r="O23" s="5"/>
      <c r="P23" s="5"/>
    </row>
    <row r="24" spans="2:16" ht="13.8" x14ac:dyDescent="0.25">
      <c r="B24" s="2"/>
      <c r="C24" s="2" t="s">
        <v>24</v>
      </c>
      <c r="D24" s="2"/>
      <c r="E24" s="2"/>
      <c r="F24" s="69"/>
      <c r="G24" s="70"/>
      <c r="H24" s="2"/>
      <c r="I24" s="8">
        <v>0</v>
      </c>
      <c r="J24" s="8">
        <v>0</v>
      </c>
      <c r="K24" s="4">
        <v>0</v>
      </c>
      <c r="L24" s="11">
        <f t="shared" si="2"/>
        <v>0</v>
      </c>
      <c r="M24" s="12">
        <v>1</v>
      </c>
      <c r="N24" s="12">
        <f t="shared" si="3"/>
        <v>0</v>
      </c>
      <c r="O24" s="5"/>
      <c r="P24" s="5"/>
    </row>
    <row r="25" spans="2:16" ht="13.8" x14ac:dyDescent="0.25">
      <c r="B25" s="2"/>
      <c r="C25" s="2" t="s">
        <v>24</v>
      </c>
      <c r="D25" s="2"/>
      <c r="E25" s="2"/>
      <c r="F25" s="69"/>
      <c r="G25" s="70"/>
      <c r="H25" s="2"/>
      <c r="I25" s="8">
        <v>0</v>
      </c>
      <c r="J25" s="8">
        <v>0</v>
      </c>
      <c r="K25" s="4">
        <v>0</v>
      </c>
      <c r="L25" s="11">
        <f t="shared" si="2"/>
        <v>0</v>
      </c>
      <c r="M25" s="12">
        <v>1</v>
      </c>
      <c r="N25" s="12">
        <f t="shared" si="3"/>
        <v>0</v>
      </c>
      <c r="O25" s="5"/>
      <c r="P25" s="5"/>
    </row>
    <row r="26" spans="2:16" ht="13.8" x14ac:dyDescent="0.25">
      <c r="B26" s="2"/>
      <c r="C26" s="2" t="s">
        <v>24</v>
      </c>
      <c r="D26" s="2"/>
      <c r="E26" s="2"/>
      <c r="F26" s="69"/>
      <c r="G26" s="70"/>
      <c r="H26" s="2"/>
      <c r="I26" s="8">
        <v>0</v>
      </c>
      <c r="J26" s="8">
        <v>0</v>
      </c>
      <c r="K26" s="4">
        <v>0</v>
      </c>
      <c r="L26" s="11">
        <f t="shared" si="2"/>
        <v>0</v>
      </c>
      <c r="M26" s="12">
        <v>1</v>
      </c>
      <c r="N26" s="12">
        <f t="shared" si="3"/>
        <v>0</v>
      </c>
      <c r="O26" s="5"/>
      <c r="P26" s="5"/>
    </row>
    <row r="27" spans="2:16" ht="13.8" x14ac:dyDescent="0.25">
      <c r="B27" s="2"/>
      <c r="C27" s="2" t="s">
        <v>24</v>
      </c>
      <c r="D27" s="2"/>
      <c r="E27" s="2"/>
      <c r="F27" s="69"/>
      <c r="G27" s="70"/>
      <c r="H27" s="2"/>
      <c r="I27" s="8">
        <v>0</v>
      </c>
      <c r="J27" s="8">
        <v>0</v>
      </c>
      <c r="K27" s="4">
        <v>0</v>
      </c>
      <c r="L27" s="11">
        <f t="shared" si="2"/>
        <v>0</v>
      </c>
      <c r="M27" s="12">
        <v>1</v>
      </c>
      <c r="N27" s="12">
        <f t="shared" si="3"/>
        <v>0</v>
      </c>
      <c r="O27" s="5"/>
      <c r="P27" s="5"/>
    </row>
    <row r="28" spans="2:16" ht="13.8" x14ac:dyDescent="0.25">
      <c r="B28" s="2"/>
      <c r="C28" s="2" t="s">
        <v>24</v>
      </c>
      <c r="D28" s="2"/>
      <c r="E28" s="2"/>
      <c r="F28" s="69"/>
      <c r="G28" s="70"/>
      <c r="H28" s="2"/>
      <c r="I28" s="8">
        <v>0</v>
      </c>
      <c r="J28" s="8">
        <v>0</v>
      </c>
      <c r="K28" s="4">
        <v>0</v>
      </c>
      <c r="L28" s="11">
        <f t="shared" si="2"/>
        <v>0</v>
      </c>
      <c r="M28" s="12">
        <v>1</v>
      </c>
      <c r="N28" s="12">
        <f t="shared" si="3"/>
        <v>0</v>
      </c>
      <c r="O28" s="5"/>
      <c r="P28" s="5"/>
    </row>
    <row r="29" spans="2:16" ht="13.8" x14ac:dyDescent="0.25">
      <c r="B29" s="2"/>
      <c r="C29" s="2" t="s">
        <v>24</v>
      </c>
      <c r="D29" s="2"/>
      <c r="E29" s="2"/>
      <c r="F29" s="69"/>
      <c r="G29" s="70"/>
      <c r="H29" s="2"/>
      <c r="I29" s="8">
        <v>0</v>
      </c>
      <c r="J29" s="8">
        <v>0</v>
      </c>
      <c r="K29" s="4">
        <v>0</v>
      </c>
      <c r="L29" s="11">
        <f t="shared" si="2"/>
        <v>0</v>
      </c>
      <c r="M29" s="12">
        <v>1</v>
      </c>
      <c r="N29" s="12">
        <f t="shared" si="3"/>
        <v>0</v>
      </c>
      <c r="O29" s="5"/>
      <c r="P29" s="5"/>
    </row>
    <row r="30" spans="2:16" ht="13.8" x14ac:dyDescent="0.25">
      <c r="B30" s="2"/>
      <c r="C30" s="2" t="s">
        <v>24</v>
      </c>
      <c r="D30" s="2"/>
      <c r="E30" s="2"/>
      <c r="F30" s="69"/>
      <c r="G30" s="70"/>
      <c r="H30" s="2"/>
      <c r="I30" s="8">
        <v>0</v>
      </c>
      <c r="J30" s="8">
        <v>0</v>
      </c>
      <c r="K30" s="4">
        <v>0</v>
      </c>
      <c r="L30" s="11">
        <f t="shared" si="2"/>
        <v>0</v>
      </c>
      <c r="M30" s="12">
        <v>1</v>
      </c>
      <c r="N30" s="12">
        <f t="shared" si="3"/>
        <v>0</v>
      </c>
      <c r="O30" s="5"/>
      <c r="P30" s="5"/>
    </row>
    <row r="31" spans="2:16" ht="13.8" x14ac:dyDescent="0.25">
      <c r="B31" s="2"/>
      <c r="C31" s="2" t="s">
        <v>24</v>
      </c>
      <c r="D31" s="2"/>
      <c r="E31" s="2"/>
      <c r="F31" s="69"/>
      <c r="G31" s="70"/>
      <c r="H31" s="2"/>
      <c r="I31" s="8">
        <v>0</v>
      </c>
      <c r="J31" s="8">
        <v>0</v>
      </c>
      <c r="K31" s="4">
        <v>0</v>
      </c>
      <c r="L31" s="11">
        <f t="shared" si="2"/>
        <v>0</v>
      </c>
      <c r="M31" s="12">
        <v>1</v>
      </c>
      <c r="N31" s="12">
        <f t="shared" si="3"/>
        <v>0</v>
      </c>
      <c r="O31" s="5"/>
      <c r="P31" s="5"/>
    </row>
    <row r="32" spans="2:16" ht="13.8" x14ac:dyDescent="0.25">
      <c r="B32" s="2"/>
      <c r="C32" s="2" t="s">
        <v>24</v>
      </c>
      <c r="D32" s="2"/>
      <c r="E32" s="2"/>
      <c r="F32" s="69"/>
      <c r="G32" s="70"/>
      <c r="H32" s="2"/>
      <c r="I32" s="8">
        <v>0</v>
      </c>
      <c r="J32" s="8">
        <v>0</v>
      </c>
      <c r="K32" s="4">
        <v>0</v>
      </c>
      <c r="L32" s="11">
        <f t="shared" si="2"/>
        <v>0</v>
      </c>
      <c r="M32" s="12">
        <v>1</v>
      </c>
      <c r="N32" s="12">
        <f t="shared" si="3"/>
        <v>0</v>
      </c>
      <c r="O32" s="5"/>
      <c r="P32" s="5"/>
    </row>
    <row r="33" spans="2:16" ht="13.8" x14ac:dyDescent="0.25">
      <c r="B33" s="2"/>
      <c r="C33" s="2" t="s">
        <v>24</v>
      </c>
      <c r="D33" s="2"/>
      <c r="E33" s="2"/>
      <c r="F33" s="69"/>
      <c r="G33" s="70"/>
      <c r="H33" s="2"/>
      <c r="I33" s="8">
        <v>0</v>
      </c>
      <c r="J33" s="8">
        <v>0</v>
      </c>
      <c r="K33" s="4">
        <v>0</v>
      </c>
      <c r="L33" s="11">
        <f t="shared" si="2"/>
        <v>0</v>
      </c>
      <c r="M33" s="12">
        <v>1</v>
      </c>
      <c r="N33" s="12">
        <f t="shared" si="3"/>
        <v>0</v>
      </c>
      <c r="O33" s="5"/>
      <c r="P33" s="5"/>
    </row>
    <row r="34" spans="2:16" ht="13.8" x14ac:dyDescent="0.25">
      <c r="B34" s="1">
        <v>46108</v>
      </c>
      <c r="C34" s="2" t="s">
        <v>24</v>
      </c>
      <c r="D34" s="2" t="s">
        <v>120</v>
      </c>
      <c r="E34" s="2" t="s">
        <v>187</v>
      </c>
      <c r="F34" s="69" t="s">
        <v>188</v>
      </c>
      <c r="G34" s="70"/>
      <c r="H34" s="2">
        <v>1</v>
      </c>
      <c r="I34" s="8">
        <v>0.52083333333333337</v>
      </c>
      <c r="J34" s="8">
        <v>0.60416666666666663</v>
      </c>
      <c r="K34" s="4">
        <v>40</v>
      </c>
      <c r="L34" s="11">
        <f t="shared" si="2"/>
        <v>79.999999999999886</v>
      </c>
      <c r="M34" s="12">
        <v>1</v>
      </c>
      <c r="N34" s="12">
        <f t="shared" si="3"/>
        <v>79.999999999999886</v>
      </c>
      <c r="O34" s="5"/>
      <c r="P34" s="5"/>
    </row>
    <row r="35" spans="2:16" ht="13.8" x14ac:dyDescent="0.25">
      <c r="B35" s="2"/>
      <c r="C35" s="2" t="s">
        <v>24</v>
      </c>
      <c r="D35" s="2" t="s">
        <v>120</v>
      </c>
      <c r="E35" s="2" t="s">
        <v>109</v>
      </c>
      <c r="F35" s="69" t="s">
        <v>189</v>
      </c>
      <c r="G35" s="70"/>
      <c r="H35" s="2">
        <v>4</v>
      </c>
      <c r="I35" s="8">
        <v>0.60416666666666663</v>
      </c>
      <c r="J35" s="8">
        <v>0.625</v>
      </c>
      <c r="K35" s="4">
        <v>0</v>
      </c>
      <c r="L35" s="11">
        <f t="shared" si="2"/>
        <v>30.000000000000053</v>
      </c>
      <c r="M35" s="12">
        <v>4</v>
      </c>
      <c r="N35" s="12">
        <f t="shared" si="3"/>
        <v>7.5000000000000133</v>
      </c>
      <c r="O35" s="5"/>
      <c r="P35" s="5"/>
    </row>
    <row r="36" spans="2:16" ht="13.8" x14ac:dyDescent="0.25">
      <c r="B36" s="88">
        <v>46111</v>
      </c>
      <c r="C36" s="2" t="s">
        <v>24</v>
      </c>
      <c r="D36" s="2" t="s">
        <v>120</v>
      </c>
      <c r="E36" s="2" t="s">
        <v>190</v>
      </c>
      <c r="F36" s="69" t="s">
        <v>191</v>
      </c>
      <c r="G36" s="70"/>
      <c r="H36" s="2">
        <v>4</v>
      </c>
      <c r="I36" s="8">
        <v>0.29166666666666669</v>
      </c>
      <c r="J36" s="8">
        <v>0.35416666666666669</v>
      </c>
      <c r="K36" s="4">
        <v>10</v>
      </c>
      <c r="L36" s="11">
        <f t="shared" si="2"/>
        <v>80</v>
      </c>
      <c r="M36" s="12">
        <v>4</v>
      </c>
      <c r="N36" s="12">
        <f t="shared" si="3"/>
        <v>20</v>
      </c>
      <c r="O36" s="5"/>
      <c r="P36" s="5"/>
    </row>
    <row r="37" spans="2:16" ht="13.8" x14ac:dyDescent="0.25">
      <c r="B37" s="89"/>
      <c r="C37" s="2" t="s">
        <v>24</v>
      </c>
      <c r="D37" s="2" t="s">
        <v>120</v>
      </c>
      <c r="E37" s="2" t="s">
        <v>190</v>
      </c>
      <c r="F37" s="69" t="s">
        <v>192</v>
      </c>
      <c r="G37" s="70"/>
      <c r="H37" s="2">
        <v>4</v>
      </c>
      <c r="I37" s="8">
        <v>0.35416666666666669</v>
      </c>
      <c r="J37" s="8">
        <v>0.64583333333333337</v>
      </c>
      <c r="K37" s="4">
        <v>40</v>
      </c>
      <c r="L37" s="11">
        <f t="shared" si="2"/>
        <v>380</v>
      </c>
      <c r="M37" s="12">
        <v>4</v>
      </c>
      <c r="N37" s="12">
        <f t="shared" si="3"/>
        <v>95</v>
      </c>
      <c r="O37" s="5"/>
      <c r="P37" s="5"/>
    </row>
    <row r="38" spans="2:16" ht="13.8" x14ac:dyDescent="0.25">
      <c r="B38" s="90"/>
      <c r="C38" s="2" t="s">
        <v>120</v>
      </c>
      <c r="D38" s="2" t="s">
        <v>120</v>
      </c>
      <c r="E38" s="2" t="s">
        <v>54</v>
      </c>
      <c r="F38" s="69" t="s">
        <v>193</v>
      </c>
      <c r="G38" s="70"/>
      <c r="H38" s="2">
        <v>1</v>
      </c>
      <c r="I38" s="8">
        <v>0.64583333333333337</v>
      </c>
      <c r="J38" s="8">
        <v>0.66666666666666663</v>
      </c>
      <c r="K38" s="4">
        <v>0</v>
      </c>
      <c r="L38" s="11">
        <f t="shared" si="2"/>
        <v>29.999999999999893</v>
      </c>
      <c r="M38" s="12">
        <v>1</v>
      </c>
      <c r="N38" s="12">
        <f t="shared" si="3"/>
        <v>29.999999999999893</v>
      </c>
      <c r="O38" s="5"/>
      <c r="P38" s="5"/>
    </row>
    <row r="39" spans="2:16" ht="28.2" customHeight="1" x14ac:dyDescent="0.25">
      <c r="B39" s="1">
        <v>46112</v>
      </c>
      <c r="C39" s="2" t="s">
        <v>24</v>
      </c>
      <c r="D39" s="2" t="s">
        <v>120</v>
      </c>
      <c r="E39" s="2" t="s">
        <v>109</v>
      </c>
      <c r="F39" s="69" t="s">
        <v>194</v>
      </c>
      <c r="G39" s="70"/>
      <c r="H39" s="2">
        <v>3</v>
      </c>
      <c r="I39" s="8">
        <v>0.29166666666666669</v>
      </c>
      <c r="J39" s="8">
        <v>0.35416666666666669</v>
      </c>
      <c r="K39" s="4">
        <v>10</v>
      </c>
      <c r="L39" s="11">
        <f t="shared" si="2"/>
        <v>80</v>
      </c>
      <c r="M39" s="12">
        <v>3</v>
      </c>
      <c r="N39" s="12">
        <f t="shared" si="3"/>
        <v>26.666666666666668</v>
      </c>
      <c r="O39" s="5"/>
      <c r="P39" s="5"/>
    </row>
    <row r="40" spans="2:16" ht="13.8" x14ac:dyDescent="0.25">
      <c r="B40" s="2"/>
      <c r="C40" s="2" t="s">
        <v>24</v>
      </c>
      <c r="D40" s="2" t="s">
        <v>120</v>
      </c>
      <c r="E40" s="2" t="s">
        <v>109</v>
      </c>
      <c r="F40" s="69" t="s">
        <v>197</v>
      </c>
      <c r="G40" s="70"/>
      <c r="H40" s="2">
        <v>2</v>
      </c>
      <c r="I40" s="8">
        <v>0.35416666666666669</v>
      </c>
      <c r="J40" s="8">
        <v>0.4375</v>
      </c>
      <c r="K40" s="4">
        <v>0</v>
      </c>
      <c r="L40" s="11">
        <f t="shared" si="2"/>
        <v>119.99999999999997</v>
      </c>
      <c r="M40" s="12">
        <v>2</v>
      </c>
      <c r="N40" s="12">
        <f t="shared" si="3"/>
        <v>59.999999999999986</v>
      </c>
      <c r="O40" s="5"/>
      <c r="P40" s="5"/>
    </row>
    <row r="41" spans="2:16" ht="13.8" x14ac:dyDescent="0.25">
      <c r="B41" s="2"/>
      <c r="C41" s="2" t="s">
        <v>24</v>
      </c>
      <c r="D41" s="2" t="s">
        <v>120</v>
      </c>
      <c r="E41" s="2" t="s">
        <v>195</v>
      </c>
      <c r="F41" s="69" t="s">
        <v>196</v>
      </c>
      <c r="G41" s="70"/>
      <c r="H41" s="2">
        <v>2</v>
      </c>
      <c r="I41" s="8">
        <v>0.4375</v>
      </c>
      <c r="J41" s="8">
        <v>0.47916666666666669</v>
      </c>
      <c r="K41" s="4">
        <v>0</v>
      </c>
      <c r="L41" s="11">
        <f t="shared" si="2"/>
        <v>60.000000000000028</v>
      </c>
      <c r="M41" s="12">
        <v>1</v>
      </c>
      <c r="N41" s="12">
        <f t="shared" si="3"/>
        <v>60.000000000000028</v>
      </c>
      <c r="O41" s="5"/>
      <c r="P41" s="5"/>
    </row>
    <row r="42" spans="2:16" ht="13.8" x14ac:dyDescent="0.25">
      <c r="B42" s="2"/>
      <c r="C42" s="2" t="s">
        <v>24</v>
      </c>
      <c r="D42" s="2" t="s">
        <v>120</v>
      </c>
      <c r="E42" s="2" t="s">
        <v>190</v>
      </c>
      <c r="F42" s="69" t="s">
        <v>198</v>
      </c>
      <c r="G42" s="70"/>
      <c r="H42" s="2">
        <v>2</v>
      </c>
      <c r="I42" s="8">
        <v>0.47916666666666669</v>
      </c>
      <c r="J42" s="8">
        <v>0.52083333333333337</v>
      </c>
      <c r="K42" s="4">
        <v>0</v>
      </c>
      <c r="L42" s="11">
        <f t="shared" si="2"/>
        <v>60.000000000000028</v>
      </c>
      <c r="M42" s="12">
        <v>1</v>
      </c>
      <c r="N42" s="12">
        <f t="shared" si="3"/>
        <v>60.000000000000028</v>
      </c>
      <c r="O42" s="5"/>
      <c r="P42" s="5"/>
    </row>
    <row r="43" spans="2:16" ht="13.8" x14ac:dyDescent="0.25">
      <c r="B43" s="2"/>
      <c r="C43" s="2" t="s">
        <v>24</v>
      </c>
      <c r="D43" s="2"/>
      <c r="E43" s="2"/>
      <c r="F43" s="69"/>
      <c r="G43" s="70"/>
      <c r="H43" s="2"/>
      <c r="I43" s="8">
        <v>0</v>
      </c>
      <c r="J43" s="8">
        <v>0</v>
      </c>
      <c r="K43" s="4">
        <v>0</v>
      </c>
      <c r="L43" s="11">
        <f t="shared" ref="L43:L68" si="4">((J43-I43+(J43&lt;I43))*1440)-K43</f>
        <v>0</v>
      </c>
      <c r="M43" s="12">
        <v>1</v>
      </c>
      <c r="N43" s="12">
        <f t="shared" ref="N43:N68" si="5">L43/M43</f>
        <v>0</v>
      </c>
      <c r="O43" s="5"/>
      <c r="P43" s="5"/>
    </row>
    <row r="44" spans="2:16" ht="13.8" x14ac:dyDescent="0.25">
      <c r="B44" s="2"/>
      <c r="C44" s="2" t="s">
        <v>24</v>
      </c>
      <c r="D44" s="2"/>
      <c r="E44" s="2"/>
      <c r="F44" s="69"/>
      <c r="G44" s="70"/>
      <c r="H44" s="2"/>
      <c r="I44" s="8">
        <v>0</v>
      </c>
      <c r="J44" s="8">
        <v>0</v>
      </c>
      <c r="K44" s="4">
        <v>0</v>
      </c>
      <c r="L44" s="11">
        <f t="shared" si="4"/>
        <v>0</v>
      </c>
      <c r="M44" s="12">
        <v>1</v>
      </c>
      <c r="N44" s="12">
        <f t="shared" si="5"/>
        <v>0</v>
      </c>
      <c r="O44" s="5"/>
      <c r="P44" s="5"/>
    </row>
    <row r="45" spans="2:16" ht="13.8" x14ac:dyDescent="0.25">
      <c r="B45" s="2"/>
      <c r="C45" s="2" t="s">
        <v>24</v>
      </c>
      <c r="D45" s="2"/>
      <c r="E45" s="2"/>
      <c r="F45" s="69"/>
      <c r="G45" s="70"/>
      <c r="H45" s="2"/>
      <c r="I45" s="8">
        <v>0</v>
      </c>
      <c r="J45" s="8">
        <v>0</v>
      </c>
      <c r="K45" s="4">
        <v>0</v>
      </c>
      <c r="L45" s="11">
        <f t="shared" si="4"/>
        <v>0</v>
      </c>
      <c r="M45" s="12">
        <v>1</v>
      </c>
      <c r="N45" s="12">
        <f t="shared" si="5"/>
        <v>0</v>
      </c>
      <c r="O45" s="5"/>
      <c r="P45" s="5"/>
    </row>
    <row r="46" spans="2:16" ht="13.8" x14ac:dyDescent="0.25">
      <c r="B46" s="2"/>
      <c r="C46" s="2" t="s">
        <v>24</v>
      </c>
      <c r="D46" s="2"/>
      <c r="E46" s="2"/>
      <c r="F46" s="69"/>
      <c r="G46" s="70"/>
      <c r="H46" s="2"/>
      <c r="I46" s="8">
        <v>0</v>
      </c>
      <c r="J46" s="8">
        <v>0</v>
      </c>
      <c r="K46" s="4">
        <v>0</v>
      </c>
      <c r="L46" s="11">
        <f t="shared" si="4"/>
        <v>0</v>
      </c>
      <c r="M46" s="12">
        <v>1</v>
      </c>
      <c r="N46" s="12">
        <f t="shared" si="5"/>
        <v>0</v>
      </c>
      <c r="O46" s="5"/>
      <c r="P46" s="5"/>
    </row>
    <row r="47" spans="2:16" ht="13.8" x14ac:dyDescent="0.25">
      <c r="B47" s="2"/>
      <c r="C47" s="2" t="s">
        <v>24</v>
      </c>
      <c r="D47" s="2"/>
      <c r="E47" s="2"/>
      <c r="F47" s="69"/>
      <c r="G47" s="70"/>
      <c r="H47" s="2"/>
      <c r="I47" s="8">
        <v>0</v>
      </c>
      <c r="J47" s="8">
        <v>0</v>
      </c>
      <c r="K47" s="4">
        <v>0</v>
      </c>
      <c r="L47" s="11">
        <f t="shared" si="4"/>
        <v>0</v>
      </c>
      <c r="M47" s="12">
        <v>1</v>
      </c>
      <c r="N47" s="12">
        <f t="shared" si="5"/>
        <v>0</v>
      </c>
      <c r="O47" s="5"/>
      <c r="P47" s="5"/>
    </row>
    <row r="48" spans="2:16" ht="13.8" x14ac:dyDescent="0.25">
      <c r="B48" s="2"/>
      <c r="C48" s="2" t="s">
        <v>24</v>
      </c>
      <c r="D48" s="2"/>
      <c r="E48" s="2"/>
      <c r="F48" s="69"/>
      <c r="G48" s="70"/>
      <c r="H48" s="2"/>
      <c r="I48" s="8">
        <v>0</v>
      </c>
      <c r="J48" s="8">
        <v>0</v>
      </c>
      <c r="K48" s="4">
        <v>0</v>
      </c>
      <c r="L48" s="11">
        <f t="shared" si="4"/>
        <v>0</v>
      </c>
      <c r="M48" s="12">
        <v>1</v>
      </c>
      <c r="N48" s="12">
        <f t="shared" si="5"/>
        <v>0</v>
      </c>
      <c r="O48" s="5"/>
      <c r="P48" s="5"/>
    </row>
    <row r="49" spans="2:16" ht="13.8" x14ac:dyDescent="0.25">
      <c r="B49" s="2"/>
      <c r="C49" s="2" t="s">
        <v>24</v>
      </c>
      <c r="D49" s="2"/>
      <c r="E49" s="2"/>
      <c r="F49" s="69"/>
      <c r="G49" s="70"/>
      <c r="H49" s="2"/>
      <c r="I49" s="8">
        <v>0</v>
      </c>
      <c r="J49" s="8">
        <v>0</v>
      </c>
      <c r="K49" s="4">
        <v>0</v>
      </c>
      <c r="L49" s="11">
        <f t="shared" si="4"/>
        <v>0</v>
      </c>
      <c r="M49" s="12">
        <v>1</v>
      </c>
      <c r="N49" s="12">
        <f t="shared" si="5"/>
        <v>0</v>
      </c>
      <c r="O49" s="5"/>
      <c r="P49" s="5"/>
    </row>
    <row r="50" spans="2:16" ht="13.8" x14ac:dyDescent="0.25">
      <c r="B50" s="2"/>
      <c r="C50" s="2" t="s">
        <v>24</v>
      </c>
      <c r="D50" s="2"/>
      <c r="E50" s="2"/>
      <c r="F50" s="69"/>
      <c r="G50" s="70"/>
      <c r="H50" s="2"/>
      <c r="I50" s="8">
        <v>0</v>
      </c>
      <c r="J50" s="8">
        <v>0</v>
      </c>
      <c r="K50" s="4">
        <v>0</v>
      </c>
      <c r="L50" s="11">
        <f t="shared" si="4"/>
        <v>0</v>
      </c>
      <c r="M50" s="12">
        <v>1</v>
      </c>
      <c r="N50" s="12">
        <f t="shared" si="5"/>
        <v>0</v>
      </c>
      <c r="O50" s="5"/>
      <c r="P50" s="5"/>
    </row>
    <row r="51" spans="2:16" ht="13.8" x14ac:dyDescent="0.25">
      <c r="B51" s="2"/>
      <c r="C51" s="2" t="s">
        <v>24</v>
      </c>
      <c r="D51" s="2"/>
      <c r="E51" s="2"/>
      <c r="F51" s="69"/>
      <c r="G51" s="70"/>
      <c r="H51" s="2"/>
      <c r="I51" s="8">
        <v>0</v>
      </c>
      <c r="J51" s="8">
        <v>0</v>
      </c>
      <c r="K51" s="4">
        <v>0</v>
      </c>
      <c r="L51" s="11">
        <f t="shared" si="4"/>
        <v>0</v>
      </c>
      <c r="M51" s="12">
        <v>1</v>
      </c>
      <c r="N51" s="12">
        <f t="shared" si="5"/>
        <v>0</v>
      </c>
      <c r="O51" s="5"/>
      <c r="P51" s="5"/>
    </row>
    <row r="52" spans="2:16" ht="13.8" x14ac:dyDescent="0.25">
      <c r="B52" s="2"/>
      <c r="C52" s="2" t="s">
        <v>24</v>
      </c>
      <c r="D52" s="2"/>
      <c r="E52" s="2"/>
      <c r="F52" s="69"/>
      <c r="G52" s="70"/>
      <c r="H52" s="2"/>
      <c r="I52" s="8">
        <v>0</v>
      </c>
      <c r="J52" s="8">
        <v>0</v>
      </c>
      <c r="K52" s="4">
        <v>0</v>
      </c>
      <c r="L52" s="11">
        <f t="shared" si="4"/>
        <v>0</v>
      </c>
      <c r="M52" s="12">
        <v>1</v>
      </c>
      <c r="N52" s="12">
        <f t="shared" si="5"/>
        <v>0</v>
      </c>
      <c r="O52" s="5"/>
      <c r="P52" s="5"/>
    </row>
    <row r="53" spans="2:16" ht="13.8" x14ac:dyDescent="0.25">
      <c r="B53" s="2"/>
      <c r="C53" s="2" t="s">
        <v>24</v>
      </c>
      <c r="D53" s="2"/>
      <c r="E53" s="2"/>
      <c r="F53" s="69"/>
      <c r="G53" s="70"/>
      <c r="H53" s="2"/>
      <c r="I53" s="8">
        <v>0</v>
      </c>
      <c r="J53" s="8">
        <v>0</v>
      </c>
      <c r="K53" s="4">
        <v>0</v>
      </c>
      <c r="L53" s="11">
        <f t="shared" si="4"/>
        <v>0</v>
      </c>
      <c r="M53" s="12">
        <v>1</v>
      </c>
      <c r="N53" s="12">
        <f t="shared" si="5"/>
        <v>0</v>
      </c>
      <c r="O53" s="5"/>
      <c r="P53" s="5"/>
    </row>
    <row r="54" spans="2:16" ht="13.8" x14ac:dyDescent="0.25">
      <c r="B54" s="2"/>
      <c r="C54" s="2" t="s">
        <v>24</v>
      </c>
      <c r="D54" s="2"/>
      <c r="E54" s="2"/>
      <c r="F54" s="69"/>
      <c r="G54" s="70"/>
      <c r="H54" s="2"/>
      <c r="I54" s="8">
        <v>0</v>
      </c>
      <c r="J54" s="8">
        <v>0</v>
      </c>
      <c r="K54" s="4">
        <v>0</v>
      </c>
      <c r="L54" s="11">
        <f t="shared" si="4"/>
        <v>0</v>
      </c>
      <c r="M54" s="12">
        <v>1</v>
      </c>
      <c r="N54" s="12">
        <f t="shared" si="5"/>
        <v>0</v>
      </c>
      <c r="O54" s="5"/>
      <c r="P54" s="5"/>
    </row>
    <row r="55" spans="2:16" ht="13.8" x14ac:dyDescent="0.25">
      <c r="B55" s="2"/>
      <c r="C55" s="2" t="s">
        <v>24</v>
      </c>
      <c r="D55" s="2"/>
      <c r="E55" s="2"/>
      <c r="F55" s="69"/>
      <c r="G55" s="70"/>
      <c r="H55" s="2"/>
      <c r="I55" s="8">
        <v>0</v>
      </c>
      <c r="J55" s="8">
        <v>0</v>
      </c>
      <c r="K55" s="4">
        <v>0</v>
      </c>
      <c r="L55" s="11">
        <f t="shared" si="4"/>
        <v>0</v>
      </c>
      <c r="M55" s="12">
        <v>1</v>
      </c>
      <c r="N55" s="12">
        <f t="shared" si="5"/>
        <v>0</v>
      </c>
      <c r="O55" s="5"/>
      <c r="P55" s="5"/>
    </row>
    <row r="56" spans="2:16" ht="13.8" x14ac:dyDescent="0.25">
      <c r="B56" s="2"/>
      <c r="C56" s="2" t="s">
        <v>24</v>
      </c>
      <c r="D56" s="2"/>
      <c r="E56" s="2"/>
      <c r="F56" s="69"/>
      <c r="G56" s="70"/>
      <c r="H56" s="2"/>
      <c r="I56" s="8">
        <v>0</v>
      </c>
      <c r="J56" s="8">
        <v>0</v>
      </c>
      <c r="K56" s="4">
        <v>0</v>
      </c>
      <c r="L56" s="11">
        <f t="shared" si="4"/>
        <v>0</v>
      </c>
      <c r="M56" s="12">
        <v>1</v>
      </c>
      <c r="N56" s="12">
        <f t="shared" si="5"/>
        <v>0</v>
      </c>
      <c r="O56" s="5"/>
      <c r="P56" s="5"/>
    </row>
    <row r="57" spans="2:16" ht="13.8" x14ac:dyDescent="0.25">
      <c r="B57" s="2"/>
      <c r="C57" s="2" t="s">
        <v>24</v>
      </c>
      <c r="D57" s="2"/>
      <c r="E57" s="2"/>
      <c r="F57" s="69"/>
      <c r="G57" s="70"/>
      <c r="H57" s="2"/>
      <c r="I57" s="8">
        <v>0</v>
      </c>
      <c r="J57" s="8">
        <v>0</v>
      </c>
      <c r="K57" s="4">
        <v>0</v>
      </c>
      <c r="L57" s="11">
        <f t="shared" si="4"/>
        <v>0</v>
      </c>
      <c r="M57" s="12">
        <v>1</v>
      </c>
      <c r="N57" s="12">
        <f t="shared" si="5"/>
        <v>0</v>
      </c>
      <c r="O57" s="5"/>
      <c r="P57" s="5"/>
    </row>
    <row r="58" spans="2:16" ht="13.8" x14ac:dyDescent="0.25">
      <c r="B58" s="2"/>
      <c r="C58" s="2" t="s">
        <v>24</v>
      </c>
      <c r="D58" s="2"/>
      <c r="E58" s="2"/>
      <c r="F58" s="69"/>
      <c r="G58" s="70"/>
      <c r="H58" s="2"/>
      <c r="I58" s="8">
        <v>0</v>
      </c>
      <c r="J58" s="8">
        <v>0</v>
      </c>
      <c r="K58" s="4">
        <v>0</v>
      </c>
      <c r="L58" s="11">
        <f t="shared" si="4"/>
        <v>0</v>
      </c>
      <c r="M58" s="12">
        <v>1</v>
      </c>
      <c r="N58" s="12">
        <f t="shared" si="5"/>
        <v>0</v>
      </c>
      <c r="O58" s="5"/>
      <c r="P58" s="5"/>
    </row>
    <row r="59" spans="2:16" ht="13.8" x14ac:dyDescent="0.25">
      <c r="B59" s="2"/>
      <c r="C59" s="2" t="s">
        <v>24</v>
      </c>
      <c r="D59" s="2"/>
      <c r="E59" s="2"/>
      <c r="F59" s="69"/>
      <c r="G59" s="70"/>
      <c r="H59" s="2"/>
      <c r="I59" s="8">
        <v>0</v>
      </c>
      <c r="J59" s="8">
        <v>0</v>
      </c>
      <c r="K59" s="4">
        <v>0</v>
      </c>
      <c r="L59" s="11">
        <f t="shared" si="4"/>
        <v>0</v>
      </c>
      <c r="M59" s="12">
        <v>1</v>
      </c>
      <c r="N59" s="12">
        <f t="shared" si="5"/>
        <v>0</v>
      </c>
      <c r="O59" s="5"/>
      <c r="P59" s="5"/>
    </row>
    <row r="60" spans="2:16" ht="13.8" x14ac:dyDescent="0.25">
      <c r="B60" s="2"/>
      <c r="C60" s="2" t="s">
        <v>24</v>
      </c>
      <c r="D60" s="2"/>
      <c r="E60" s="2"/>
      <c r="F60" s="69"/>
      <c r="G60" s="70"/>
      <c r="H60" s="2"/>
      <c r="I60" s="8">
        <v>0</v>
      </c>
      <c r="J60" s="8">
        <v>0</v>
      </c>
      <c r="K60" s="4">
        <v>0</v>
      </c>
      <c r="L60" s="11">
        <f t="shared" si="4"/>
        <v>0</v>
      </c>
      <c r="M60" s="12">
        <v>1</v>
      </c>
      <c r="N60" s="12">
        <f t="shared" si="5"/>
        <v>0</v>
      </c>
      <c r="O60" s="5"/>
      <c r="P60" s="5"/>
    </row>
    <row r="61" spans="2:16" ht="13.8" x14ac:dyDescent="0.25">
      <c r="B61" s="2"/>
      <c r="C61" s="2" t="s">
        <v>24</v>
      </c>
      <c r="D61" s="2"/>
      <c r="E61" s="2"/>
      <c r="F61" s="69"/>
      <c r="G61" s="70"/>
      <c r="H61" s="2"/>
      <c r="I61" s="8">
        <v>0</v>
      </c>
      <c r="J61" s="8">
        <v>0</v>
      </c>
      <c r="K61" s="4">
        <v>0</v>
      </c>
      <c r="L61" s="11">
        <f t="shared" si="4"/>
        <v>0</v>
      </c>
      <c r="M61" s="12">
        <v>1</v>
      </c>
      <c r="N61" s="12">
        <f t="shared" si="5"/>
        <v>0</v>
      </c>
      <c r="O61" s="5"/>
      <c r="P61" s="5"/>
    </row>
    <row r="62" spans="2:16" ht="13.8" x14ac:dyDescent="0.25">
      <c r="B62" s="2"/>
      <c r="C62" s="2" t="s">
        <v>24</v>
      </c>
      <c r="D62" s="2"/>
      <c r="E62" s="2"/>
      <c r="F62" s="69"/>
      <c r="G62" s="70"/>
      <c r="H62" s="2"/>
      <c r="I62" s="8">
        <v>0</v>
      </c>
      <c r="J62" s="8">
        <v>0</v>
      </c>
      <c r="K62" s="4">
        <v>0</v>
      </c>
      <c r="L62" s="11">
        <f t="shared" si="4"/>
        <v>0</v>
      </c>
      <c r="M62" s="12">
        <v>1</v>
      </c>
      <c r="N62" s="12">
        <f t="shared" si="5"/>
        <v>0</v>
      </c>
      <c r="O62" s="5"/>
      <c r="P62" s="5"/>
    </row>
    <row r="63" spans="2:16" ht="13.8" x14ac:dyDescent="0.25">
      <c r="B63" s="2"/>
      <c r="C63" s="2" t="s">
        <v>24</v>
      </c>
      <c r="D63" s="2"/>
      <c r="E63" s="2"/>
      <c r="F63" s="69"/>
      <c r="G63" s="70"/>
      <c r="H63" s="2"/>
      <c r="I63" s="8">
        <v>0</v>
      </c>
      <c r="J63" s="8">
        <v>0</v>
      </c>
      <c r="K63" s="4">
        <v>0</v>
      </c>
      <c r="L63" s="11">
        <f t="shared" si="4"/>
        <v>0</v>
      </c>
      <c r="M63" s="12">
        <v>1</v>
      </c>
      <c r="N63" s="12">
        <f t="shared" si="5"/>
        <v>0</v>
      </c>
      <c r="O63" s="5"/>
      <c r="P63" s="5"/>
    </row>
    <row r="64" spans="2:16" ht="13.8" x14ac:dyDescent="0.25">
      <c r="B64" s="2"/>
      <c r="C64" s="2" t="s">
        <v>24</v>
      </c>
      <c r="D64" s="2"/>
      <c r="E64" s="2"/>
      <c r="F64" s="69"/>
      <c r="G64" s="70"/>
      <c r="H64" s="2"/>
      <c r="I64" s="8">
        <v>0</v>
      </c>
      <c r="J64" s="8">
        <v>0</v>
      </c>
      <c r="K64" s="4">
        <v>0</v>
      </c>
      <c r="L64" s="11">
        <f t="shared" si="4"/>
        <v>0</v>
      </c>
      <c r="M64" s="12">
        <v>1</v>
      </c>
      <c r="N64" s="12">
        <f t="shared" si="5"/>
        <v>0</v>
      </c>
      <c r="O64" s="5"/>
      <c r="P64" s="5"/>
    </row>
    <row r="65" spans="2:16" ht="13.8" x14ac:dyDescent="0.25">
      <c r="B65" s="2"/>
      <c r="C65" s="2" t="s">
        <v>24</v>
      </c>
      <c r="D65" s="2"/>
      <c r="E65" s="2"/>
      <c r="F65" s="69"/>
      <c r="G65" s="70"/>
      <c r="H65" s="2"/>
      <c r="I65" s="8">
        <v>0</v>
      </c>
      <c r="J65" s="8">
        <v>0</v>
      </c>
      <c r="K65" s="4">
        <v>0</v>
      </c>
      <c r="L65" s="11">
        <f t="shared" si="4"/>
        <v>0</v>
      </c>
      <c r="M65" s="12">
        <v>1</v>
      </c>
      <c r="N65" s="12">
        <f t="shared" si="5"/>
        <v>0</v>
      </c>
      <c r="O65" s="5"/>
      <c r="P65" s="5"/>
    </row>
    <row r="66" spans="2:16" ht="13.8" x14ac:dyDescent="0.25">
      <c r="B66" s="2"/>
      <c r="C66" s="2" t="s">
        <v>24</v>
      </c>
      <c r="D66" s="2"/>
      <c r="E66" s="2"/>
      <c r="F66" s="69"/>
      <c r="G66" s="70"/>
      <c r="H66" s="2"/>
      <c r="I66" s="8">
        <v>0</v>
      </c>
      <c r="J66" s="8">
        <v>0</v>
      </c>
      <c r="K66" s="4">
        <v>0</v>
      </c>
      <c r="L66" s="11">
        <f t="shared" si="4"/>
        <v>0</v>
      </c>
      <c r="M66" s="12">
        <v>1</v>
      </c>
      <c r="N66" s="12">
        <f t="shared" si="5"/>
        <v>0</v>
      </c>
      <c r="O66" s="5"/>
      <c r="P66" s="5"/>
    </row>
    <row r="67" spans="2:16" ht="13.8" x14ac:dyDescent="0.25">
      <c r="B67" s="2"/>
      <c r="C67" s="2" t="s">
        <v>24</v>
      </c>
      <c r="D67" s="2"/>
      <c r="E67" s="2"/>
      <c r="F67" s="69"/>
      <c r="G67" s="70"/>
      <c r="H67" s="2"/>
      <c r="I67" s="8">
        <v>0</v>
      </c>
      <c r="J67" s="8">
        <v>0</v>
      </c>
      <c r="K67" s="4">
        <v>0</v>
      </c>
      <c r="L67" s="11">
        <f t="shared" si="4"/>
        <v>0</v>
      </c>
      <c r="M67" s="12">
        <v>1</v>
      </c>
      <c r="N67" s="12">
        <f t="shared" si="5"/>
        <v>0</v>
      </c>
      <c r="O67" s="5"/>
      <c r="P67" s="5"/>
    </row>
    <row r="68" spans="2:16" ht="13.8" x14ac:dyDescent="0.25">
      <c r="B68" s="2"/>
      <c r="C68" s="2" t="s">
        <v>24</v>
      </c>
      <c r="D68" s="2"/>
      <c r="E68" s="2"/>
      <c r="F68" s="69"/>
      <c r="G68" s="70"/>
      <c r="H68" s="2"/>
      <c r="I68" s="8">
        <v>0</v>
      </c>
      <c r="J68" s="8">
        <v>0</v>
      </c>
      <c r="K68" s="4">
        <v>0</v>
      </c>
      <c r="L68" s="11">
        <f t="shared" si="4"/>
        <v>0</v>
      </c>
      <c r="M68" s="12">
        <v>1</v>
      </c>
      <c r="N68" s="12">
        <f t="shared" si="5"/>
        <v>0</v>
      </c>
      <c r="O68" s="5"/>
      <c r="P68" s="5"/>
    </row>
  </sheetData>
  <mergeCells count="83">
    <mergeCell ref="F67:G67"/>
    <mergeCell ref="F68:G68"/>
    <mergeCell ref="F62:G62"/>
    <mergeCell ref="F63:G63"/>
    <mergeCell ref="F64:G64"/>
    <mergeCell ref="F65:G65"/>
    <mergeCell ref="F66:G66"/>
    <mergeCell ref="F57:G57"/>
    <mergeCell ref="F58:G58"/>
    <mergeCell ref="F59:G59"/>
    <mergeCell ref="F60:G60"/>
    <mergeCell ref="F61:G61"/>
    <mergeCell ref="F52:G52"/>
    <mergeCell ref="F53:G53"/>
    <mergeCell ref="F54:G54"/>
    <mergeCell ref="F55:G55"/>
    <mergeCell ref="F56:G56"/>
    <mergeCell ref="F47:G47"/>
    <mergeCell ref="F48:G48"/>
    <mergeCell ref="F49:G49"/>
    <mergeCell ref="F50:G50"/>
    <mergeCell ref="F51:G51"/>
    <mergeCell ref="B36:B38"/>
    <mergeCell ref="F43:G43"/>
    <mergeCell ref="F44:G44"/>
    <mergeCell ref="F45:G45"/>
    <mergeCell ref="F46:G46"/>
    <mergeCell ref="F40:G40"/>
    <mergeCell ref="F41:G41"/>
    <mergeCell ref="F42:G42"/>
    <mergeCell ref="F16:G16"/>
    <mergeCell ref="F17:G17"/>
    <mergeCell ref="F18:G18"/>
    <mergeCell ref="F19:G19"/>
    <mergeCell ref="B4:N4"/>
    <mergeCell ref="B7:B15"/>
    <mergeCell ref="F7:G7"/>
    <mergeCell ref="F8:G8"/>
    <mergeCell ref="F9:G9"/>
    <mergeCell ref="F11:G11"/>
    <mergeCell ref="F12:G12"/>
    <mergeCell ref="F13:G13"/>
    <mergeCell ref="F14:G14"/>
    <mergeCell ref="F10:G10"/>
    <mergeCell ref="F15:G15"/>
    <mergeCell ref="O4:P4"/>
    <mergeCell ref="B5:B6"/>
    <mergeCell ref="C5:C6"/>
    <mergeCell ref="D5:D6"/>
    <mergeCell ref="E5:E6"/>
    <mergeCell ref="F5:G6"/>
    <mergeCell ref="H5:H6"/>
    <mergeCell ref="I5:K5"/>
    <mergeCell ref="L5:N5"/>
    <mergeCell ref="O5:O6"/>
    <mergeCell ref="P5:P6"/>
    <mergeCell ref="B1:C2"/>
    <mergeCell ref="D1:N2"/>
    <mergeCell ref="O1:P1"/>
    <mergeCell ref="O2:P2"/>
    <mergeCell ref="B3:H3"/>
    <mergeCell ref="I3:N3"/>
    <mergeCell ref="O3:P3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</mergeCells>
  <phoneticPr fontId="12" type="noConversion"/>
  <pageMargins left="0.19685039370078741" right="0" top="0.19685039370078741" bottom="0" header="0" footer="0"/>
  <pageSetup paperSize="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ALARCON</vt:lpstr>
      <vt:lpstr>HERRERA</vt:lpstr>
      <vt:lpstr>LOPEZ</vt:lpstr>
      <vt:lpstr>MIZAU</vt:lpstr>
      <vt:lpstr>POLI</vt:lpstr>
      <vt:lpstr>SALGADO</vt:lpstr>
      <vt:lpstr>ROLDAN</vt:lpstr>
      <vt:lpstr>SUAREZ</vt:lpstr>
      <vt:lpstr>VERA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F-PROD-01-B Orden de trabajo.xlsx</dc:title>
  <dc:creator>ACER</dc:creator>
  <cp:lastModifiedBy>ACER</cp:lastModifiedBy>
  <cp:lastPrinted>2026-03-17T11:05:19Z</cp:lastPrinted>
  <dcterms:created xsi:type="dcterms:W3CDTF">2025-12-15T16:08:06Z</dcterms:created>
  <dcterms:modified xsi:type="dcterms:W3CDTF">2026-04-16T00:58:41Z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2025-12-15T00:00:00Z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2025-12-15T00:00:00Z</vt:filetime>
  </property>
</Properties>
</file>